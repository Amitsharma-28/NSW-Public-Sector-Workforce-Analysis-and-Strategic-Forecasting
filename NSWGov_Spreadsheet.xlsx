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 hidePivotFieldList="1"/>
  <xr:revisionPtr revIDLastSave="0" documentId="8_{EEB64827-ADB4-4D4B-A0BE-B2294C733021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PT &amp; FT Data Table" sheetId="4" r:id="rId1"/>
    <sheet name="PT &amp; FT Data PivotTable format" sheetId="5" r:id="rId2"/>
    <sheet name="1" sheetId="7" r:id="rId3"/>
    <sheet name="2" sheetId="9" r:id="rId4"/>
    <sheet name="3" sheetId="11" r:id="rId5"/>
    <sheet name="4" sheetId="12" r:id="rId6"/>
    <sheet name="5" sheetId="15" r:id="rId7"/>
    <sheet name="6" sheetId="16" r:id="rId8"/>
    <sheet name="6 (continued)" sheetId="17" r:id="rId9"/>
  </sheets>
  <calcPr calcId="191029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7" l="1"/>
  <c r="Q4" i="17"/>
  <c r="Q27" i="17"/>
  <c r="H4" i="17"/>
  <c r="H24" i="17"/>
  <c r="K28" i="17"/>
  <c r="O20" i="17"/>
  <c r="M30" i="17"/>
  <c r="N4" i="17"/>
  <c r="M4" i="17"/>
  <c r="L4" i="17"/>
  <c r="K4" i="17"/>
  <c r="J4" i="17"/>
  <c r="I4" i="17"/>
  <c r="G62" i="16"/>
  <c r="C45" i="16"/>
  <c r="C44" i="16"/>
  <c r="C43" i="16"/>
  <c r="C42" i="16"/>
  <c r="G53" i="15"/>
  <c r="G52" i="15"/>
  <c r="G51" i="15"/>
  <c r="G50" i="15"/>
  <c r="G49" i="15"/>
  <c r="G48" i="15"/>
  <c r="G47" i="15"/>
  <c r="K43" i="15"/>
  <c r="K39" i="15"/>
  <c r="K38" i="15"/>
  <c r="K37" i="15"/>
  <c r="K36" i="15"/>
  <c r="J39" i="15"/>
  <c r="J38" i="15"/>
  <c r="J37" i="15"/>
  <c r="J36" i="15"/>
  <c r="J35" i="15"/>
  <c r="P20" i="15"/>
  <c r="P23" i="15"/>
  <c r="P22" i="15"/>
  <c r="P21" i="15"/>
  <c r="P19" i="15"/>
  <c r="P18" i="15"/>
  <c r="P17" i="15"/>
  <c r="I23" i="15"/>
  <c r="I22" i="15"/>
  <c r="I21" i="15"/>
  <c r="I20" i="15"/>
  <c r="I19" i="15"/>
  <c r="I18" i="15"/>
  <c r="I17" i="15"/>
  <c r="T13" i="15"/>
  <c r="T9" i="15"/>
  <c r="T8" i="15"/>
  <c r="T7" i="15"/>
  <c r="T6" i="15"/>
  <c r="M13" i="15"/>
  <c r="M9" i="15"/>
  <c r="M8" i="15"/>
  <c r="M7" i="15"/>
  <c r="M6" i="15"/>
  <c r="AF55" i="12"/>
  <c r="AB55" i="12"/>
  <c r="AF56" i="12"/>
  <c r="Y74" i="12"/>
  <c r="Y73" i="12"/>
  <c r="Y72" i="12"/>
  <c r="Y71" i="12"/>
  <c r="Y70" i="12"/>
  <c r="Y69" i="12"/>
  <c r="Y68" i="12"/>
  <c r="Y67" i="12"/>
  <c r="Y66" i="12"/>
  <c r="Y65" i="12"/>
  <c r="Y64" i="12"/>
  <c r="Y63" i="12"/>
  <c r="Y62" i="12"/>
  <c r="Y61" i="12"/>
  <c r="Y60" i="12"/>
  <c r="Y59" i="12"/>
  <c r="Y58" i="12"/>
  <c r="Y57" i="12"/>
  <c r="Y56" i="12"/>
  <c r="Y55" i="12"/>
  <c r="X74" i="12"/>
  <c r="X73" i="12"/>
  <c r="X72" i="12"/>
  <c r="X71" i="12"/>
  <c r="X70" i="12"/>
  <c r="X69" i="12"/>
  <c r="X68" i="12"/>
  <c r="X67" i="12"/>
  <c r="X66" i="12"/>
  <c r="X65" i="12"/>
  <c r="X64" i="12"/>
  <c r="X63" i="12"/>
  <c r="X62" i="12"/>
  <c r="X61" i="12"/>
  <c r="X60" i="12"/>
  <c r="X59" i="12"/>
  <c r="X58" i="12"/>
  <c r="X57" i="12"/>
  <c r="X56" i="12"/>
  <c r="X55" i="12"/>
  <c r="W74" i="12"/>
  <c r="W73" i="12"/>
  <c r="W72" i="12"/>
  <c r="W71" i="12"/>
  <c r="W70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V44" i="12"/>
  <c r="V43" i="12"/>
  <c r="U44" i="12"/>
  <c r="U43" i="12"/>
  <c r="T44" i="12"/>
  <c r="T43" i="12"/>
  <c r="V33" i="12"/>
  <c r="V32" i="12"/>
  <c r="V31" i="12"/>
  <c r="V30" i="12"/>
  <c r="V29" i="12"/>
  <c r="V28" i="12"/>
  <c r="V27" i="12"/>
  <c r="V26" i="12"/>
  <c r="V25" i="12"/>
  <c r="V24" i="12"/>
  <c r="V23" i="12"/>
  <c r="U33" i="12"/>
  <c r="U32" i="12"/>
  <c r="U31" i="12"/>
  <c r="U30" i="12"/>
  <c r="U29" i="12"/>
  <c r="U28" i="12"/>
  <c r="U27" i="12"/>
  <c r="U26" i="12"/>
  <c r="U25" i="12"/>
  <c r="U24" i="12"/>
  <c r="U23" i="12"/>
  <c r="T33" i="12"/>
  <c r="T32" i="12"/>
  <c r="T31" i="12"/>
  <c r="T30" i="12"/>
  <c r="T29" i="12"/>
  <c r="T28" i="12"/>
  <c r="T27" i="12"/>
  <c r="T26" i="12"/>
  <c r="T25" i="12"/>
  <c r="T24" i="12"/>
  <c r="T23" i="12"/>
  <c r="K12" i="12"/>
  <c r="K9" i="12"/>
  <c r="K8" i="12"/>
  <c r="K7" i="12"/>
  <c r="K6" i="12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J8" i="11"/>
  <c r="J7" i="11"/>
  <c r="J9" i="9"/>
  <c r="J8" i="9"/>
  <c r="J7" i="9"/>
  <c r="J6" i="9"/>
  <c r="J5" i="9"/>
  <c r="V41" i="7"/>
  <c r="V40" i="7"/>
  <c r="V39" i="7"/>
  <c r="V38" i="7"/>
  <c r="V37" i="7"/>
  <c r="U41" i="7"/>
  <c r="U40" i="7"/>
  <c r="U39" i="7"/>
  <c r="U38" i="7"/>
  <c r="U37" i="7"/>
  <c r="T41" i="7"/>
  <c r="T40" i="7"/>
  <c r="T39" i="7"/>
  <c r="T38" i="7"/>
  <c r="T37" i="7"/>
  <c r="AG57" i="12"/>
  <c r="AG60" i="12"/>
  <c r="AE59" i="12"/>
  <c r="AE58" i="12"/>
  <c r="H31" i="17"/>
  <c r="M8" i="7"/>
  <c r="AG65" i="12"/>
  <c r="AG64" i="12"/>
  <c r="AG63" i="12"/>
  <c r="AG62" i="12"/>
  <c r="AG61" i="12"/>
  <c r="AG59" i="12"/>
  <c r="AG58" i="12"/>
  <c r="AG56" i="12"/>
  <c r="AG55" i="12"/>
  <c r="AF60" i="12"/>
  <c r="AF64" i="12"/>
  <c r="AF63" i="12"/>
  <c r="AF62" i="12"/>
  <c r="AF61" i="12"/>
  <c r="AF59" i="12"/>
  <c r="AF58" i="12"/>
  <c r="AF57" i="12"/>
  <c r="AE64" i="12"/>
  <c r="AE63" i="12"/>
  <c r="AE62" i="12"/>
  <c r="AE61" i="12"/>
  <c r="AE60" i="12"/>
  <c r="AE57" i="12"/>
  <c r="AE56" i="12"/>
  <c r="AE55" i="12"/>
  <c r="AD64" i="12"/>
  <c r="AD63" i="12"/>
  <c r="AD62" i="12"/>
  <c r="AD61" i="12"/>
  <c r="AD60" i="12"/>
  <c r="AD59" i="12"/>
  <c r="AD58" i="12"/>
  <c r="AD57" i="12"/>
  <c r="AD56" i="12"/>
  <c r="AD55" i="12"/>
  <c r="AC64" i="12"/>
  <c r="AC63" i="12"/>
  <c r="AC62" i="12"/>
  <c r="AC61" i="12"/>
  <c r="AC60" i="12"/>
  <c r="AC59" i="12"/>
  <c r="AC58" i="12"/>
  <c r="AC57" i="12"/>
  <c r="AC56" i="12"/>
  <c r="AC55" i="12"/>
  <c r="AB64" i="12"/>
  <c r="AB63" i="12"/>
  <c r="AB62" i="12"/>
  <c r="AB61" i="12"/>
  <c r="AB60" i="12"/>
  <c r="AB59" i="12"/>
  <c r="AB58" i="12"/>
  <c r="AB57" i="12"/>
  <c r="AB56" i="12"/>
  <c r="AB65" i="12"/>
  <c r="AE65" i="12"/>
  <c r="AD65" i="12"/>
  <c r="AC65" i="12"/>
  <c r="AF65" i="12" l="1"/>
  <c r="D47" i="16" l="1"/>
  <c r="I15" i="17"/>
  <c r="J15" i="17" s="1"/>
  <c r="K15" i="17" s="1"/>
  <c r="L15" i="17" s="1"/>
  <c r="M15" i="17" s="1"/>
  <c r="N15" i="17" s="1"/>
  <c r="O15" i="17" s="1"/>
  <c r="Q15" i="17" s="1"/>
  <c r="I19" i="17"/>
  <c r="J19" i="17" s="1"/>
  <c r="K19" i="17" s="1"/>
  <c r="L19" i="17" s="1"/>
  <c r="M19" i="17" s="1"/>
  <c r="N19" i="17" s="1"/>
  <c r="O19" i="17" s="1"/>
  <c r="Q19" i="17" s="1"/>
  <c r="H30" i="17"/>
  <c r="I30" i="17" s="1"/>
  <c r="J30" i="17" s="1"/>
  <c r="K30" i="17" s="1"/>
  <c r="L30" i="17" s="1"/>
  <c r="N30" i="17" s="1"/>
  <c r="O30" i="17" s="1"/>
  <c r="Q30" i="17" s="1"/>
  <c r="H5" i="17"/>
  <c r="I5" i="17" s="1"/>
  <c r="J5" i="17" s="1"/>
  <c r="K5" i="17" s="1"/>
  <c r="L5" i="17" s="1"/>
  <c r="M5" i="17" s="1"/>
  <c r="N5" i="17" s="1"/>
  <c r="O5" i="17" s="1"/>
  <c r="Q5" i="17" s="1"/>
  <c r="H6" i="17"/>
  <c r="I6" i="17" s="1"/>
  <c r="J6" i="17" s="1"/>
  <c r="K6" i="17" s="1"/>
  <c r="L6" i="17" s="1"/>
  <c r="M6" i="17" s="1"/>
  <c r="N6" i="17" s="1"/>
  <c r="O6" i="17" s="1"/>
  <c r="Q6" i="17" s="1"/>
  <c r="H7" i="17"/>
  <c r="I7" i="17" s="1"/>
  <c r="J7" i="17" s="1"/>
  <c r="K7" i="17" s="1"/>
  <c r="L7" i="17" s="1"/>
  <c r="M7" i="17" s="1"/>
  <c r="N7" i="17" s="1"/>
  <c r="O7" i="17" s="1"/>
  <c r="Q7" i="17" s="1"/>
  <c r="H8" i="17"/>
  <c r="I8" i="17" s="1"/>
  <c r="J8" i="17" s="1"/>
  <c r="K8" i="17" s="1"/>
  <c r="L8" i="17" s="1"/>
  <c r="M8" i="17" s="1"/>
  <c r="N8" i="17" s="1"/>
  <c r="O8" i="17" s="1"/>
  <c r="Q8" i="17" s="1"/>
  <c r="H9" i="17"/>
  <c r="I9" i="17" s="1"/>
  <c r="J9" i="17" s="1"/>
  <c r="K9" i="17" s="1"/>
  <c r="L9" i="17" s="1"/>
  <c r="M9" i="17" s="1"/>
  <c r="N9" i="17" s="1"/>
  <c r="O9" i="17" s="1"/>
  <c r="Q9" i="17" s="1"/>
  <c r="H10" i="17"/>
  <c r="I10" i="17" s="1"/>
  <c r="J10" i="17" s="1"/>
  <c r="K10" i="17" s="1"/>
  <c r="L10" i="17" s="1"/>
  <c r="M10" i="17" s="1"/>
  <c r="N10" i="17" s="1"/>
  <c r="O10" i="17" s="1"/>
  <c r="Q10" i="17" s="1"/>
  <c r="H11" i="17"/>
  <c r="I11" i="17" s="1"/>
  <c r="J11" i="17" s="1"/>
  <c r="K11" i="17" s="1"/>
  <c r="L11" i="17" s="1"/>
  <c r="M11" i="17" s="1"/>
  <c r="N11" i="17" s="1"/>
  <c r="O11" i="17" s="1"/>
  <c r="Q11" i="17" s="1"/>
  <c r="H12" i="17"/>
  <c r="I12" i="17" s="1"/>
  <c r="J12" i="17" s="1"/>
  <c r="K12" i="17" s="1"/>
  <c r="L12" i="17" s="1"/>
  <c r="M12" i="17" s="1"/>
  <c r="N12" i="17" s="1"/>
  <c r="O12" i="17" s="1"/>
  <c r="Q12" i="17" s="1"/>
  <c r="H13" i="17"/>
  <c r="I13" i="17" s="1"/>
  <c r="J13" i="17" s="1"/>
  <c r="K13" i="17" s="1"/>
  <c r="L13" i="17" s="1"/>
  <c r="M13" i="17" s="1"/>
  <c r="N13" i="17" s="1"/>
  <c r="O13" i="17" s="1"/>
  <c r="Q13" i="17" s="1"/>
  <c r="H14" i="17"/>
  <c r="I14" i="17" s="1"/>
  <c r="J14" i="17" s="1"/>
  <c r="K14" i="17" s="1"/>
  <c r="L14" i="17" s="1"/>
  <c r="M14" i="17" s="1"/>
  <c r="N14" i="17" s="1"/>
  <c r="O14" i="17" s="1"/>
  <c r="Q14" i="17" s="1"/>
  <c r="H15" i="17"/>
  <c r="H16" i="17"/>
  <c r="I16" i="17" s="1"/>
  <c r="J16" i="17" s="1"/>
  <c r="K16" i="17" s="1"/>
  <c r="L16" i="17" s="1"/>
  <c r="M16" i="17" s="1"/>
  <c r="N16" i="17" s="1"/>
  <c r="O16" i="17" s="1"/>
  <c r="Q16" i="17" s="1"/>
  <c r="H17" i="17"/>
  <c r="I17" i="17" s="1"/>
  <c r="J17" i="17" s="1"/>
  <c r="K17" i="17" s="1"/>
  <c r="L17" i="17" s="1"/>
  <c r="M17" i="17" s="1"/>
  <c r="N17" i="17" s="1"/>
  <c r="O17" i="17" s="1"/>
  <c r="Q17" i="17" s="1"/>
  <c r="H18" i="17"/>
  <c r="I18" i="17" s="1"/>
  <c r="J18" i="17" s="1"/>
  <c r="K18" i="17" s="1"/>
  <c r="L18" i="17" s="1"/>
  <c r="M18" i="17" s="1"/>
  <c r="N18" i="17" s="1"/>
  <c r="O18" i="17" s="1"/>
  <c r="Q18" i="17" s="1"/>
  <c r="H19" i="17"/>
  <c r="H20" i="17"/>
  <c r="I20" i="17" s="1"/>
  <c r="J20" i="17" s="1"/>
  <c r="K20" i="17" s="1"/>
  <c r="L20" i="17" s="1"/>
  <c r="M20" i="17" s="1"/>
  <c r="N20" i="17" s="1"/>
  <c r="Q20" i="17" s="1"/>
  <c r="H21" i="17"/>
  <c r="I21" i="17" s="1"/>
  <c r="J21" i="17" s="1"/>
  <c r="K21" i="17" s="1"/>
  <c r="L21" i="17" s="1"/>
  <c r="M21" i="17" s="1"/>
  <c r="N21" i="17" s="1"/>
  <c r="O21" i="17" s="1"/>
  <c r="Q21" i="17" s="1"/>
  <c r="H22" i="17"/>
  <c r="I22" i="17" s="1"/>
  <c r="J22" i="17" s="1"/>
  <c r="K22" i="17" s="1"/>
  <c r="L22" i="17" s="1"/>
  <c r="M22" i="17" s="1"/>
  <c r="N22" i="17" s="1"/>
  <c r="O22" i="17" s="1"/>
  <c r="Q22" i="17" s="1"/>
  <c r="H23" i="17"/>
  <c r="I23" i="17" s="1"/>
  <c r="J23" i="17" s="1"/>
  <c r="K23" i="17" s="1"/>
  <c r="L23" i="17" s="1"/>
  <c r="M23" i="17" s="1"/>
  <c r="N23" i="17" s="1"/>
  <c r="O23" i="17" s="1"/>
  <c r="Q23" i="17" s="1"/>
  <c r="I24" i="17"/>
  <c r="J24" i="17" s="1"/>
  <c r="K24" i="17" s="1"/>
  <c r="L24" i="17" s="1"/>
  <c r="M24" i="17" s="1"/>
  <c r="N24" i="17" s="1"/>
  <c r="O24" i="17" s="1"/>
  <c r="Q24" i="17" s="1"/>
  <c r="H25" i="17"/>
  <c r="I25" i="17" s="1"/>
  <c r="J25" i="17" s="1"/>
  <c r="K25" i="17" s="1"/>
  <c r="L25" i="17" s="1"/>
  <c r="M25" i="17" s="1"/>
  <c r="N25" i="17" s="1"/>
  <c r="O25" i="17" s="1"/>
  <c r="Q25" i="17" s="1"/>
  <c r="H26" i="17"/>
  <c r="I26" i="17" s="1"/>
  <c r="J26" i="17" s="1"/>
  <c r="K26" i="17" s="1"/>
  <c r="L26" i="17" s="1"/>
  <c r="M26" i="17" s="1"/>
  <c r="N26" i="17" s="1"/>
  <c r="O26" i="17" s="1"/>
  <c r="Q26" i="17" s="1"/>
  <c r="H27" i="17"/>
  <c r="I27" i="17" s="1"/>
  <c r="J27" i="17" s="1"/>
  <c r="K27" i="17" s="1"/>
  <c r="L27" i="17" s="1"/>
  <c r="M27" i="17" s="1"/>
  <c r="N27" i="17" s="1"/>
  <c r="O27" i="17" s="1"/>
  <c r="H28" i="17"/>
  <c r="I28" i="17" s="1"/>
  <c r="J28" i="17" s="1"/>
  <c r="L28" i="17" s="1"/>
  <c r="M28" i="17" s="1"/>
  <c r="N28" i="17" s="1"/>
  <c r="O28" i="17" s="1"/>
  <c r="Q28" i="17" s="1"/>
  <c r="H29" i="17"/>
  <c r="I29" i="17" s="1"/>
  <c r="J29" i="17" s="1"/>
  <c r="K29" i="17" s="1"/>
  <c r="L29" i="17" s="1"/>
  <c r="M29" i="17" s="1"/>
  <c r="N29" i="17" s="1"/>
  <c r="O29" i="17" s="1"/>
  <c r="Q29" i="17" s="1"/>
  <c r="I31" i="17"/>
  <c r="J31" i="17" s="1"/>
  <c r="K31" i="17" s="1"/>
  <c r="L31" i="17" s="1"/>
  <c r="M31" i="17" s="1"/>
  <c r="N31" i="17" s="1"/>
  <c r="O31" i="17" s="1"/>
  <c r="Q31" i="17" s="1"/>
  <c r="H32" i="17"/>
  <c r="I32" i="17" s="1"/>
  <c r="J32" i="17" s="1"/>
  <c r="K32" i="17" s="1"/>
  <c r="L32" i="17" s="1"/>
  <c r="M32" i="17" s="1"/>
  <c r="N32" i="17" s="1"/>
  <c r="O32" i="17" s="1"/>
  <c r="Q32" i="17" s="1"/>
  <c r="H33" i="17"/>
  <c r="I33" i="17" s="1"/>
  <c r="J33" i="17" s="1"/>
  <c r="K33" i="17" s="1"/>
  <c r="L33" i="17" s="1"/>
  <c r="M33" i="17" s="1"/>
  <c r="N33" i="17" s="1"/>
  <c r="O33" i="17" s="1"/>
  <c r="O4" i="17"/>
  <c r="G65" i="16"/>
  <c r="E50" i="16"/>
  <c r="G54" i="16"/>
  <c r="G45" i="16"/>
  <c r="G46" i="16"/>
  <c r="G47" i="16"/>
  <c r="G48" i="16"/>
  <c r="G49" i="16"/>
  <c r="G50" i="16"/>
  <c r="G51" i="16"/>
  <c r="G52" i="16"/>
  <c r="G53" i="16"/>
  <c r="G55" i="16"/>
  <c r="G56" i="16"/>
  <c r="G57" i="16"/>
  <c r="G58" i="16"/>
  <c r="G59" i="16"/>
  <c r="G60" i="16"/>
  <c r="G61" i="16"/>
  <c r="G63" i="16"/>
  <c r="G64" i="16"/>
  <c r="G66" i="16"/>
  <c r="G67" i="16"/>
  <c r="G68" i="16"/>
  <c r="G69" i="16"/>
  <c r="G70" i="16"/>
  <c r="G71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E45" i="16"/>
  <c r="E46" i="16"/>
  <c r="E47" i="16"/>
  <c r="E48" i="16"/>
  <c r="E49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D45" i="16"/>
  <c r="D46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G44" i="16"/>
  <c r="G43" i="16"/>
  <c r="G42" i="16"/>
  <c r="F44" i="16"/>
  <c r="F43" i="16"/>
  <c r="F42" i="16"/>
  <c r="E44" i="16"/>
  <c r="E43" i="16"/>
  <c r="E42" i="16"/>
  <c r="D44" i="16"/>
  <c r="D43" i="16"/>
  <c r="D42" i="16"/>
  <c r="S6" i="15"/>
  <c r="S7" i="15"/>
  <c r="S8" i="15"/>
  <c r="S9" i="15"/>
  <c r="S5" i="15"/>
  <c r="L6" i="15"/>
  <c r="L7" i="15"/>
  <c r="L8" i="15"/>
  <c r="L9" i="15"/>
  <c r="L5" i="15"/>
  <c r="J8" i="12" l="1"/>
  <c r="J6" i="12"/>
  <c r="J7" i="12"/>
  <c r="J9" i="12"/>
  <c r="J5" i="12"/>
  <c r="J23" i="9"/>
  <c r="J24" i="9"/>
  <c r="J25" i="9"/>
  <c r="J26" i="9"/>
  <c r="J27" i="9"/>
  <c r="J28" i="9"/>
  <c r="J29" i="9"/>
  <c r="J30" i="9"/>
  <c r="J31" i="9"/>
  <c r="J22" i="9"/>
  <c r="O8" i="7" l="1"/>
  <c r="N8" i="7"/>
  <c r="K6" i="7"/>
  <c r="K7" i="7"/>
  <c r="K8" i="7"/>
  <c r="K9" i="7"/>
  <c r="K5" i="7"/>
  <c r="J6" i="7"/>
  <c r="J7" i="7"/>
  <c r="J8" i="7"/>
  <c r="J9" i="7"/>
  <c r="J5" i="7"/>
  <c r="V96" i="4" l="1"/>
  <c r="U96" i="4"/>
  <c r="T96" i="4"/>
  <c r="S96" i="4"/>
  <c r="T97" i="4" s="1"/>
  <c r="R96" i="4"/>
  <c r="Q96" i="4"/>
  <c r="R97" i="4" s="1"/>
  <c r="P96" i="4"/>
  <c r="O96" i="4"/>
  <c r="R98" i="4" s="1"/>
  <c r="N96" i="4"/>
  <c r="M96" i="4"/>
  <c r="L96" i="4"/>
  <c r="K96" i="4"/>
  <c r="J96" i="4"/>
  <c r="I96" i="4"/>
  <c r="H96" i="4"/>
  <c r="G96" i="4"/>
  <c r="H97" i="4" s="1"/>
  <c r="F96" i="4"/>
  <c r="E96" i="4"/>
  <c r="D96" i="4"/>
  <c r="C96" i="4"/>
  <c r="D97" i="4" s="1"/>
  <c r="N98" i="4" l="1"/>
  <c r="F97" i="4"/>
  <c r="N97" i="4"/>
  <c r="V97" i="4"/>
  <c r="J98" i="4"/>
  <c r="P97" i="4"/>
  <c r="F98" i="4"/>
  <c r="V98" i="4"/>
  <c r="J97" i="4"/>
  <c r="L97" i="4"/>
</calcChain>
</file>

<file path=xl/sharedStrings.xml><?xml version="1.0" encoding="utf-8"?>
<sst xmlns="http://schemas.openxmlformats.org/spreadsheetml/2006/main" count="8249" uniqueCount="177">
  <si>
    <t>Full-Time</t>
  </si>
  <si>
    <t>Part-Time</t>
  </si>
  <si>
    <t>Cluster</t>
  </si>
  <si>
    <t>Agency</t>
  </si>
  <si>
    <t>Male</t>
  </si>
  <si>
    <t>Female</t>
  </si>
  <si>
    <t>Education</t>
  </si>
  <si>
    <t>Family &amp; Community Services</t>
  </si>
  <si>
    <t>Finance, Services &amp; Innovation</t>
  </si>
  <si>
    <t>Health</t>
  </si>
  <si>
    <t>Industry</t>
  </si>
  <si>
    <t>Justice</t>
  </si>
  <si>
    <t>Planning &amp; Environment</t>
  </si>
  <si>
    <t>Premier &amp; Cabinet</t>
  </si>
  <si>
    <t>Transport</t>
  </si>
  <si>
    <t>Treasury</t>
  </si>
  <si>
    <t>Headcount</t>
  </si>
  <si>
    <t>Education Agency 1</t>
  </si>
  <si>
    <t>Education Agency 2</t>
  </si>
  <si>
    <t>Education Agency 3</t>
  </si>
  <si>
    <t>Education Agency 4</t>
  </si>
  <si>
    <t>Family &amp; Community Services Agency 1</t>
  </si>
  <si>
    <t>Family &amp; Community Services Agency 2</t>
  </si>
  <si>
    <t>Family &amp; Community Services Agency 3</t>
  </si>
  <si>
    <t>Finance, Services &amp; Innovation Agency 1</t>
  </si>
  <si>
    <t>Finance, Services &amp; Innovation Agency 2</t>
  </si>
  <si>
    <t>Health Agency 1</t>
  </si>
  <si>
    <t>Health Agency 2</t>
  </si>
  <si>
    <t>Health Agency 3</t>
  </si>
  <si>
    <t>Health Agency 4</t>
  </si>
  <si>
    <t>Health Agency 5</t>
  </si>
  <si>
    <t>Health Agency 6</t>
  </si>
  <si>
    <t>Health Agency 7</t>
  </si>
  <si>
    <t>Health Agency 8</t>
  </si>
  <si>
    <t>Health Agency 9</t>
  </si>
  <si>
    <t>Health Agency 10</t>
  </si>
  <si>
    <t>Health Agency 11</t>
  </si>
  <si>
    <t>Health Agency 12</t>
  </si>
  <si>
    <t>Health Agency 13</t>
  </si>
  <si>
    <t>Health Agency 14</t>
  </si>
  <si>
    <t>Health Agency 15</t>
  </si>
  <si>
    <t>Health Agency 16</t>
  </si>
  <si>
    <t>Health Agency 17</t>
  </si>
  <si>
    <t>Health Agency 18</t>
  </si>
  <si>
    <t>Health Agency 19</t>
  </si>
  <si>
    <t>Health Agency 20</t>
  </si>
  <si>
    <t>Health Agency 21</t>
  </si>
  <si>
    <t>Health Agency 22</t>
  </si>
  <si>
    <t>Health Agency 23</t>
  </si>
  <si>
    <t>Health Agency 24</t>
  </si>
  <si>
    <t>Health Agency 25</t>
  </si>
  <si>
    <t>Health Agency 26</t>
  </si>
  <si>
    <t>Health Agency 27</t>
  </si>
  <si>
    <t>Health Agency 28</t>
  </si>
  <si>
    <t>Health Agency 29</t>
  </si>
  <si>
    <t>Health Agency 30</t>
  </si>
  <si>
    <t>Health Agency 31</t>
  </si>
  <si>
    <t>Health Agency 32</t>
  </si>
  <si>
    <t>Health Agency 33</t>
  </si>
  <si>
    <t>Industry Agency 1</t>
  </si>
  <si>
    <t>Industry Agency 2</t>
  </si>
  <si>
    <t>Industry Agency 3</t>
  </si>
  <si>
    <t>Industry Agency 4</t>
  </si>
  <si>
    <t>Industry Agency 5</t>
  </si>
  <si>
    <t>Industry Agency 6</t>
  </si>
  <si>
    <t>Industry Agency 7</t>
  </si>
  <si>
    <t>Industry Agency 8</t>
  </si>
  <si>
    <t>Justice Agency 1</t>
  </si>
  <si>
    <t>Justice Agency 2</t>
  </si>
  <si>
    <t>Justice Agency 3</t>
  </si>
  <si>
    <t>Justice Agency 4</t>
  </si>
  <si>
    <t>Justice Agency 5</t>
  </si>
  <si>
    <t>Justice Agency 6</t>
  </si>
  <si>
    <t>Justice Agency 7</t>
  </si>
  <si>
    <t>Justice Agency 8</t>
  </si>
  <si>
    <t>Justice Agency 9</t>
  </si>
  <si>
    <t>Justice Agency 10</t>
  </si>
  <si>
    <t>Justice Agency 11</t>
  </si>
  <si>
    <t>Justice Agency 12</t>
  </si>
  <si>
    <t>Justice Agency 13</t>
  </si>
  <si>
    <t>Justice Agency 14</t>
  </si>
  <si>
    <t>Planning &amp; Environment Agency 1</t>
  </si>
  <si>
    <t>Planning &amp; Environment Agency 2</t>
  </si>
  <si>
    <t>Planning &amp; Environment Agency 3</t>
  </si>
  <si>
    <t>Planning &amp; Environment Agency 4</t>
  </si>
  <si>
    <t>Planning &amp; Environment Agency 5</t>
  </si>
  <si>
    <t>Planning &amp; Environment Agency 6</t>
  </si>
  <si>
    <t>Planning &amp; Environment Agency 7</t>
  </si>
  <si>
    <t>Planning &amp; Environment Agency 8</t>
  </si>
  <si>
    <t>Premier &amp; Cabinet Agency 1</t>
  </si>
  <si>
    <t>Premier &amp; Cabinet Agency 2</t>
  </si>
  <si>
    <t>Premier &amp; Cabinet Agency 3</t>
  </si>
  <si>
    <t>Premier &amp; Cabinet Agency 4</t>
  </si>
  <si>
    <t>Premier &amp; Cabinet Agency 5</t>
  </si>
  <si>
    <t>Premier &amp; Cabinet Agency 6</t>
  </si>
  <si>
    <t>Premier &amp; Cabinet Agency 7</t>
  </si>
  <si>
    <t>Premier &amp; Cabinet Agency 8</t>
  </si>
  <si>
    <t>Premier &amp; Cabinet Agency 9</t>
  </si>
  <si>
    <t>Premier &amp; Cabinet Agency 10</t>
  </si>
  <si>
    <t>Premier &amp; Cabinet Agency 11</t>
  </si>
  <si>
    <t>Transport Agency 1</t>
  </si>
  <si>
    <t>Transport Agency 2</t>
  </si>
  <si>
    <t>Transport Agency 3</t>
  </si>
  <si>
    <t>Transport Agency 4</t>
  </si>
  <si>
    <t>Transport Agency 5</t>
  </si>
  <si>
    <t>Transport Agency 6</t>
  </si>
  <si>
    <t>Treasury Agency 1</t>
  </si>
  <si>
    <t>Treasury Agency 2</t>
  </si>
  <si>
    <t>Treasury Agency 3</t>
  </si>
  <si>
    <t>Total</t>
  </si>
  <si>
    <t>Year</t>
  </si>
  <si>
    <t>PT/FT</t>
  </si>
  <si>
    <t>Gender</t>
  </si>
  <si>
    <t>Grand Total</t>
  </si>
  <si>
    <t>Sum of Headcount</t>
  </si>
  <si>
    <t>Total Headcount</t>
  </si>
  <si>
    <t>Female Total</t>
  </si>
  <si>
    <t>Male Total</t>
  </si>
  <si>
    <t>% of females PT</t>
  </si>
  <si>
    <t>% of males PT</t>
  </si>
  <si>
    <t>% Female</t>
  </si>
  <si>
    <t>% Male</t>
  </si>
  <si>
    <t>% of PT Employees</t>
  </si>
  <si>
    <t>2a. current representation of part time employees in the sector</t>
  </si>
  <si>
    <t>2b. current representation of part time employees in each sector</t>
  </si>
  <si>
    <t>% of PT workers</t>
  </si>
  <si>
    <t>% of PT employees</t>
  </si>
  <si>
    <t>3a. The current representation of male and female part time employees as a proportion of the respective male and the female workforce in the sector</t>
  </si>
  <si>
    <t>3b. The current representation of male and female part time employees as a proportion of the respective male and the female workforce in each cluster</t>
  </si>
  <si>
    <t>PP change</t>
  </si>
  <si>
    <t>PP change (2014-2018)</t>
  </si>
  <si>
    <t>PP change (2014-2018):</t>
  </si>
  <si>
    <t>2014 Total</t>
  </si>
  <si>
    <t>2018 Total</t>
  </si>
  <si>
    <t>4a: Change in representation of part time employees in the sector over the last 4 years</t>
  </si>
  <si>
    <t>4b. Change in current representation of part time employees in each Cluster over the last 4 years</t>
  </si>
  <si>
    <t>4c. Change in current representation of male and female part time employees as a proportion of the respective male and the female workforce in the sector over the last 4 years</t>
  </si>
  <si>
    <t>4d. Change in current representation of male and female part time employees as a proportion of the respective male and the female workforce in each cluster over the last 4 years</t>
  </si>
  <si>
    <t>% PT employees</t>
  </si>
  <si>
    <t>5a. male and female PT representation over time and projection to 2025</t>
  </si>
  <si>
    <t>PP Change</t>
  </si>
  <si>
    <t>Forecast % PT employees</t>
  </si>
  <si>
    <t>5b. Part-time workforce representation and projection to 2025</t>
  </si>
  <si>
    <t>2015 Total</t>
  </si>
  <si>
    <t>2016 Total</t>
  </si>
  <si>
    <t>2017 Total</t>
  </si>
  <si>
    <t>Education Total</t>
  </si>
  <si>
    <t>Family &amp; Community Services Total</t>
  </si>
  <si>
    <t>Finance, Services &amp; Innovation Total</t>
  </si>
  <si>
    <t>Health Total</t>
  </si>
  <si>
    <t>Industry Total</t>
  </si>
  <si>
    <t>Justice Total</t>
  </si>
  <si>
    <t>Planning &amp; Environment Total</t>
  </si>
  <si>
    <t>Premier &amp; Cabinet Total</t>
  </si>
  <si>
    <t>Transport Total</t>
  </si>
  <si>
    <t>Treasury Total</t>
  </si>
  <si>
    <t>Stat</t>
  </si>
  <si>
    <t>% PT</t>
  </si>
  <si>
    <t>% Female PT</t>
  </si>
  <si>
    <t>% Male PT</t>
  </si>
  <si>
    <t>Average</t>
  </si>
  <si>
    <t>Forecast</t>
  </si>
  <si>
    <t>Projected PP Change (2018-2025)</t>
  </si>
  <si>
    <t>6. Cluster change projecctions</t>
  </si>
  <si>
    <t>1. Trends over time in male and female employment, including any notable changes</t>
  </si>
  <si>
    <t>Growth in headcount (2014-2018)</t>
  </si>
  <si>
    <t>Total Sector</t>
  </si>
  <si>
    <t>▲ PP</t>
  </si>
  <si>
    <t>2014-2018</t>
  </si>
  <si>
    <t>2014 - female</t>
  </si>
  <si>
    <t>2018 - female</t>
  </si>
  <si>
    <t>2014 - male</t>
  </si>
  <si>
    <t>2018 - male</t>
  </si>
  <si>
    <t>▲ in PP female PT employees</t>
  </si>
  <si>
    <t>▲ in PP male PT employees</t>
  </si>
  <si>
    <t>Average pp change in female PT represention since 2014:</t>
  </si>
  <si>
    <t>Average pp change in PT represention since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</si>
</sst>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4398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1" xfId="0" applyFont="1" applyBorder="1"/>
    <xf numFmtId="165" fontId="5" fillId="0" borderId="1" xfId="1" applyNumberFormat="1" applyFont="1" applyBorder="1"/>
    <xf numFmtId="0" fontId="6" fillId="0" borderId="1" xfId="0" applyFont="1" applyBorder="1"/>
    <xf numFmtId="0" fontId="7" fillId="0" borderId="1" xfId="0" applyFont="1" applyBorder="1"/>
    <xf numFmtId="165" fontId="7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2" xfId="0" applyFont="1" applyBorder="1"/>
    <xf numFmtId="165" fontId="4" fillId="0" borderId="0" xfId="0" applyNumberFormat="1" applyFont="1"/>
    <xf numFmtId="0" fontId="5" fillId="0" borderId="3" xfId="0" applyFont="1" applyBorder="1"/>
    <xf numFmtId="165" fontId="4" fillId="0" borderId="3" xfId="0" applyNumberFormat="1" applyFont="1" applyBorder="1"/>
    <xf numFmtId="0" fontId="4" fillId="0" borderId="3" xfId="0" applyFont="1" applyBorder="1"/>
    <xf numFmtId="0" fontId="4" fillId="0" borderId="0" xfId="0" applyFont="1"/>
    <xf numFmtId="0" fontId="0" fillId="0" borderId="0" xfId="0" pivotButton="1"/>
    <xf numFmtId="165" fontId="0" fillId="0" borderId="0" xfId="0" applyNumberFormat="1"/>
    <xf numFmtId="0" fontId="3" fillId="2" borderId="4" xfId="0" applyFont="1" applyFill="1" applyBorder="1"/>
    <xf numFmtId="0" fontId="0" fillId="0" borderId="4" xfId="0" applyBorder="1"/>
    <xf numFmtId="165" fontId="0" fillId="0" borderId="4" xfId="0" applyNumberFormat="1" applyBorder="1"/>
    <xf numFmtId="165" fontId="3" fillId="2" borderId="4" xfId="0" applyNumberFormat="1" applyFont="1" applyFill="1" applyBorder="1"/>
    <xf numFmtId="166" fontId="0" fillId="3" borderId="4" xfId="2" applyNumberFormat="1" applyFont="1" applyFill="1" applyBorder="1"/>
    <xf numFmtId="10" fontId="0" fillId="0" borderId="4" xfId="2" applyNumberFormat="1" applyFont="1" applyBorder="1"/>
    <xf numFmtId="0" fontId="3" fillId="0" borderId="4" xfId="0" applyFont="1" applyBorder="1"/>
    <xf numFmtId="0" fontId="3" fillId="2" borderId="5" xfId="0" applyFont="1" applyFill="1" applyBorder="1"/>
    <xf numFmtId="0" fontId="0" fillId="0" borderId="5" xfId="0" applyBorder="1"/>
    <xf numFmtId="0" fontId="3" fillId="5" borderId="6" xfId="0" applyFont="1" applyFill="1" applyBorder="1"/>
    <xf numFmtId="165" fontId="3" fillId="2" borderId="6" xfId="0" applyNumberFormat="1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165" fontId="3" fillId="2" borderId="9" xfId="0" applyNumberFormat="1" applyFont="1" applyFill="1" applyBorder="1"/>
    <xf numFmtId="165" fontId="3" fillId="2" borderId="10" xfId="0" applyNumberFormat="1" applyFont="1" applyFill="1" applyBorder="1"/>
    <xf numFmtId="0" fontId="3" fillId="5" borderId="12" xfId="0" applyFont="1" applyFill="1" applyBorder="1"/>
    <xf numFmtId="165" fontId="3" fillId="2" borderId="12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0" fontId="0" fillId="0" borderId="4" xfId="0" applyNumberFormat="1" applyBorder="1"/>
    <xf numFmtId="0" fontId="3" fillId="4" borderId="4" xfId="0" applyFont="1" applyFill="1" applyBorder="1" applyAlignment="1">
      <alignment horizontal="left"/>
    </xf>
    <xf numFmtId="0" fontId="0" fillId="0" borderId="6" xfId="0" applyBorder="1"/>
    <xf numFmtId="0" fontId="0" fillId="0" borderId="13" xfId="0" applyBorder="1"/>
    <xf numFmtId="165" fontId="0" fillId="0" borderId="7" xfId="0" applyNumberFormat="1" applyBorder="1"/>
    <xf numFmtId="165" fontId="0" fillId="0" borderId="8" xfId="0" applyNumberFormat="1" applyBorder="1"/>
    <xf numFmtId="165" fontId="0" fillId="5" borderId="12" xfId="0" applyNumberFormat="1" applyFill="1" applyBorder="1"/>
    <xf numFmtId="165" fontId="0" fillId="5" borderId="6" xfId="0" applyNumberFormat="1" applyFill="1" applyBorder="1"/>
    <xf numFmtId="10" fontId="3" fillId="4" borderId="4" xfId="2" applyNumberFormat="1" applyFont="1" applyFill="1" applyBorder="1"/>
    <xf numFmtId="0" fontId="3" fillId="7" borderId="4" xfId="0" applyFont="1" applyFill="1" applyBorder="1"/>
    <xf numFmtId="0" fontId="0" fillId="8" borderId="4" xfId="0" applyFill="1" applyBorder="1"/>
    <xf numFmtId="165" fontId="0" fillId="8" borderId="4" xfId="0" applyNumberFormat="1" applyFill="1" applyBorder="1"/>
    <xf numFmtId="10" fontId="0" fillId="8" borderId="4" xfId="2" applyNumberFormat="1" applyFont="1" applyFill="1" applyBorder="1"/>
    <xf numFmtId="0" fontId="0" fillId="9" borderId="4" xfId="0" applyFill="1" applyBorder="1"/>
    <xf numFmtId="165" fontId="0" fillId="9" borderId="4" xfId="0" applyNumberFormat="1" applyFill="1" applyBorder="1"/>
    <xf numFmtId="10" fontId="0" fillId="9" borderId="4" xfId="2" applyNumberFormat="1" applyFont="1" applyFill="1" applyBorder="1"/>
    <xf numFmtId="10" fontId="0" fillId="7" borderId="4" xfId="0" applyNumberFormat="1" applyFill="1" applyBorder="1"/>
    <xf numFmtId="0" fontId="0" fillId="2" borderId="4" xfId="0" applyFill="1" applyBorder="1"/>
    <xf numFmtId="165" fontId="0" fillId="5" borderId="4" xfId="0" applyNumberFormat="1" applyFill="1" applyBorder="1"/>
    <xf numFmtId="0" fontId="3" fillId="5" borderId="4" xfId="0" applyFont="1" applyFill="1" applyBorder="1"/>
    <xf numFmtId="0" fontId="3" fillId="4" borderId="4" xfId="0" applyFont="1" applyFill="1" applyBorder="1"/>
    <xf numFmtId="10" fontId="0" fillId="9" borderId="4" xfId="0" applyNumberFormat="1" applyFill="1" applyBorder="1"/>
    <xf numFmtId="0" fontId="0" fillId="8" borderId="6" xfId="0" applyFill="1" applyBorder="1"/>
    <xf numFmtId="0" fontId="3" fillId="8" borderId="16" xfId="0" applyFont="1" applyFill="1" applyBorder="1"/>
    <xf numFmtId="0" fontId="3" fillId="9" borderId="11" xfId="0" applyFont="1" applyFill="1" applyBorder="1"/>
    <xf numFmtId="0" fontId="3" fillId="8" borderId="17" xfId="0" applyFont="1" applyFill="1" applyBorder="1"/>
    <xf numFmtId="0" fontId="3" fillId="8" borderId="11" xfId="0" applyFont="1" applyFill="1" applyBorder="1"/>
    <xf numFmtId="0" fontId="3" fillId="2" borderId="16" xfId="0" applyFont="1" applyFill="1" applyBorder="1"/>
    <xf numFmtId="0" fontId="0" fillId="9" borderId="6" xfId="0" applyFill="1" applyBorder="1"/>
    <xf numFmtId="0" fontId="3" fillId="9" borderId="17" xfId="0" applyFont="1" applyFill="1" applyBorder="1"/>
    <xf numFmtId="0" fontId="3" fillId="9" borderId="16" xfId="0" applyFont="1" applyFill="1" applyBorder="1"/>
    <xf numFmtId="10" fontId="0" fillId="8" borderId="4" xfId="0" applyNumberFormat="1" applyFill="1" applyBorder="1"/>
    <xf numFmtId="0" fontId="0" fillId="0" borderId="18" xfId="0" applyBorder="1"/>
    <xf numFmtId="0" fontId="0" fillId="7" borderId="4" xfId="0" applyFill="1" applyBorder="1"/>
    <xf numFmtId="0" fontId="0" fillId="8" borderId="5" xfId="0" applyFill="1" applyBorder="1"/>
    <xf numFmtId="10" fontId="0" fillId="8" borderId="5" xfId="0" applyNumberFormat="1" applyFill="1" applyBorder="1"/>
    <xf numFmtId="0" fontId="3" fillId="3" borderId="17" xfId="0" applyFont="1" applyFill="1" applyBorder="1"/>
    <xf numFmtId="0" fontId="3" fillId="3" borderId="11" xfId="0" applyFont="1" applyFill="1" applyBorder="1"/>
    <xf numFmtId="0" fontId="0" fillId="3" borderId="16" xfId="0" applyFill="1" applyBorder="1"/>
    <xf numFmtId="0" fontId="9" fillId="4" borderId="4" xfId="0" applyFont="1" applyFill="1" applyBorder="1"/>
    <xf numFmtId="0" fontId="2" fillId="0" borderId="6" xfId="0" applyFont="1" applyBorder="1"/>
    <xf numFmtId="0" fontId="9" fillId="4" borderId="16" xfId="0" applyFont="1" applyFill="1" applyBorder="1"/>
    <xf numFmtId="165" fontId="3" fillId="0" borderId="4" xfId="0" applyNumberFormat="1" applyFont="1" applyBorder="1"/>
    <xf numFmtId="165" fontId="3" fillId="5" borderId="4" xfId="0" applyNumberFormat="1" applyFont="1" applyFill="1" applyBorder="1"/>
    <xf numFmtId="0" fontId="10" fillId="10" borderId="16" xfId="0" applyFont="1" applyFill="1" applyBorder="1"/>
    <xf numFmtId="0" fontId="10" fillId="10" borderId="6" xfId="0" applyFont="1" applyFill="1" applyBorder="1"/>
    <xf numFmtId="0" fontId="11" fillId="10" borderId="6" xfId="0" applyFont="1" applyFill="1" applyBorder="1"/>
    <xf numFmtId="0" fontId="12" fillId="0" borderId="20" xfId="0" applyFont="1" applyBorder="1"/>
    <xf numFmtId="10" fontId="13" fillId="0" borderId="20" xfId="0" applyNumberFormat="1" applyFont="1" applyBorder="1"/>
    <xf numFmtId="10" fontId="0" fillId="0" borderId="4" xfId="0" applyNumberFormat="1" applyBorder="1" applyAlignment="1">
      <alignment vertical="center"/>
    </xf>
    <xf numFmtId="10" fontId="0" fillId="0" borderId="0" xfId="2" applyNumberFormat="1" applyFont="1" applyBorder="1"/>
    <xf numFmtId="10" fontId="0" fillId="0" borderId="0" xfId="2" applyNumberFormat="1" applyFont="1" applyBorder="1" applyAlignment="1">
      <alignment horizontal="center" vertical="top"/>
    </xf>
    <xf numFmtId="0" fontId="3" fillId="11" borderId="0" xfId="0" applyFont="1" applyFill="1" applyAlignment="1">
      <alignment horizontal="center" vertical="top"/>
    </xf>
    <xf numFmtId="0" fontId="3" fillId="11" borderId="0" xfId="0" applyFont="1" applyFill="1" applyAlignment="1">
      <alignment horizontal="right" vertical="top" wrapText="1"/>
    </xf>
    <xf numFmtId="166" fontId="0" fillId="0" borderId="4" xfId="2" applyNumberFormat="1" applyFont="1" applyBorder="1"/>
    <xf numFmtId="166" fontId="0" fillId="7" borderId="4" xfId="2" applyNumberFormat="1" applyFont="1" applyFill="1" applyBorder="1"/>
    <xf numFmtId="166" fontId="0" fillId="0" borderId="11" xfId="2" applyNumberFormat="1" applyFont="1" applyBorder="1"/>
    <xf numFmtId="166" fontId="0" fillId="8" borderId="4" xfId="2" applyNumberFormat="1" applyFont="1" applyFill="1" applyBorder="1"/>
    <xf numFmtId="166" fontId="0" fillId="9" borderId="4" xfId="2" applyNumberFormat="1" applyFont="1" applyFill="1" applyBorder="1"/>
    <xf numFmtId="10" fontId="0" fillId="0" borderId="0" xfId="2" applyNumberFormat="1" applyFont="1" applyFill="1" applyBorder="1"/>
    <xf numFmtId="10" fontId="0" fillId="0" borderId="18" xfId="2" applyNumberFormat="1" applyFont="1" applyBorder="1"/>
    <xf numFmtId="10" fontId="0" fillId="11" borderId="18" xfId="2" applyNumberFormat="1" applyFont="1" applyFill="1" applyBorder="1"/>
    <xf numFmtId="10" fontId="0" fillId="11" borderId="0" xfId="2" applyNumberFormat="1" applyFont="1" applyFill="1" applyBorder="1"/>
    <xf numFmtId="0" fontId="3" fillId="0" borderId="0" xfId="0" applyFont="1"/>
    <xf numFmtId="10" fontId="3" fillId="0" borderId="18" xfId="2" applyNumberFormat="1" applyFont="1" applyFill="1" applyBorder="1"/>
    <xf numFmtId="10" fontId="3" fillId="0" borderId="0" xfId="2" applyNumberFormat="1" applyFont="1" applyFill="1" applyBorder="1"/>
    <xf numFmtId="10" fontId="3" fillId="0" borderId="0" xfId="0" applyNumberFormat="1" applyFont="1"/>
    <xf numFmtId="0" fontId="17" fillId="0" borderId="0" xfId="0" applyFont="1"/>
    <xf numFmtId="10" fontId="0" fillId="0" borderId="0" xfId="0" applyNumberFormat="1"/>
    <xf numFmtId="10" fontId="0" fillId="11" borderId="0" xfId="0" applyNumberFormat="1" applyFill="1"/>
    <xf numFmtId="0" fontId="3" fillId="0" borderId="26" xfId="0" applyFont="1" applyBorder="1"/>
    <xf numFmtId="10" fontId="3" fillId="0" borderId="0" xfId="2" applyNumberFormat="1" applyFont="1"/>
    <xf numFmtId="0" fontId="4" fillId="0" borderId="18" xfId="0" applyFont="1" applyBorder="1"/>
    <xf numFmtId="0" fontId="8" fillId="0" borderId="0" xfId="0" applyFont="1"/>
    <xf numFmtId="0" fontId="8" fillId="0" borderId="18" xfId="0" applyFont="1" applyBorder="1"/>
    <xf numFmtId="0" fontId="0" fillId="7" borderId="5" xfId="0" applyFill="1" applyBorder="1"/>
    <xf numFmtId="10" fontId="0" fillId="7" borderId="6" xfId="0" applyNumberFormat="1" applyFill="1" applyBorder="1"/>
    <xf numFmtId="0" fontId="0" fillId="7" borderId="12" xfId="0" applyFill="1" applyBorder="1"/>
    <xf numFmtId="0" fontId="15" fillId="12" borderId="4" xfId="0" applyFont="1" applyFill="1" applyBorder="1"/>
    <xf numFmtId="0" fontId="3" fillId="6" borderId="14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0" fontId="18" fillId="12" borderId="5" xfId="0" applyFont="1" applyFill="1" applyBorder="1" applyAlignment="1">
      <alignment horizontal="left"/>
    </xf>
    <xf numFmtId="0" fontId="18" fillId="12" borderId="12" xfId="0" applyFont="1" applyFill="1" applyBorder="1" applyAlignment="1">
      <alignment horizontal="left"/>
    </xf>
    <xf numFmtId="0" fontId="18" fillId="12" borderId="6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15" fillId="12" borderId="5" xfId="0" applyFont="1" applyFill="1" applyBorder="1" applyAlignment="1">
      <alignment horizontal="left"/>
    </xf>
    <xf numFmtId="0" fontId="15" fillId="12" borderId="12" xfId="0" applyFont="1" applyFill="1" applyBorder="1" applyAlignment="1">
      <alignment horizontal="left"/>
    </xf>
    <xf numFmtId="0" fontId="15" fillId="12" borderId="6" xfId="0" applyFont="1" applyFill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3" fillId="11" borderId="23" xfId="0" applyFont="1" applyFill="1" applyBorder="1" applyAlignment="1">
      <alignment horizontal="right" vertical="top" wrapText="1"/>
    </xf>
    <xf numFmtId="0" fontId="3" fillId="11" borderId="0" xfId="0" applyFont="1" applyFill="1" applyAlignment="1">
      <alignment horizontal="right" vertical="top" wrapText="1"/>
    </xf>
    <xf numFmtId="0" fontId="3" fillId="0" borderId="22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11" borderId="24" xfId="0" applyFont="1" applyFill="1" applyBorder="1" applyAlignment="1">
      <alignment horizontal="left" vertical="top"/>
    </xf>
    <xf numFmtId="0" fontId="3" fillId="11" borderId="18" xfId="0" applyFont="1" applyFill="1" applyBorder="1" applyAlignment="1">
      <alignment horizontal="left" vertical="top"/>
    </xf>
    <xf numFmtId="0" fontId="3" fillId="11" borderId="23" xfId="0" applyFont="1" applyFill="1" applyBorder="1" applyAlignment="1">
      <alignment horizontal="left" vertical="top"/>
    </xf>
    <xf numFmtId="0" fontId="3" fillId="11" borderId="0" xfId="0" applyFont="1" applyFill="1" applyAlignment="1">
      <alignment horizontal="left" vertical="top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11" borderId="23" xfId="0" applyFill="1" applyBorder="1" applyAlignment="1">
      <alignment horizontal="right" vertical="top"/>
    </xf>
    <xf numFmtId="0" fontId="3" fillId="11" borderId="0" xfId="0" applyFont="1" applyFill="1" applyAlignment="1">
      <alignment horizontal="right" vertical="top"/>
    </xf>
    <xf numFmtId="0" fontId="15" fillId="12" borderId="4" xfId="0" applyFont="1" applyFill="1" applyBorder="1" applyAlignment="1">
      <alignment horizontal="left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12" fillId="0" borderId="21" xfId="0" applyFont="1" applyBorder="1" applyAlignment="1">
      <alignment horizontal="left" vertical="top"/>
    </xf>
    <xf numFmtId="0" fontId="12" fillId="0" borderId="17" xfId="0" applyFont="1" applyBorder="1" applyAlignment="1">
      <alignment horizontal="left" vertical="top"/>
    </xf>
    <xf numFmtId="0" fontId="12" fillId="0" borderId="19" xfId="0" applyFont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0" fontId="0" fillId="0" borderId="0" xfId="0" pivotButton="1" applyFont="1"/>
    <xf numFmtId="0" fontId="0" fillId="0" borderId="0" xfId="0" applyFont="1"/>
    <xf numFmtId="165" fontId="0" fillId="0" borderId="0" xfId="0" applyNumberFormat="1" applyFont="1"/>
    <xf numFmtId="10" fontId="0" fillId="0" borderId="0" xfId="2" applyNumberFormat="1" applyFont="1"/>
    <xf numFmtId="0" fontId="14" fillId="13" borderId="0" xfId="0" applyFont="1" applyFill="1" applyAlignment="1">
      <alignment horizontal="center"/>
    </xf>
    <xf numFmtId="0" fontId="0" fillId="0" borderId="26" xfId="0" applyFont="1" applyBorder="1"/>
    <xf numFmtId="10" fontId="0" fillId="0" borderId="0" xfId="0" applyNumberFormat="1" applyFont="1"/>
    <xf numFmtId="10" fontId="0" fillId="11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24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2" defaultPivotStyle="PivotStyleLight16"/>
  <colors>
    <mruColors>
      <color rgb="FFFFC000"/>
      <color rgb="FF143980"/>
      <color rgb="FF5B9BD5"/>
      <color rgb="FFED7D31"/>
      <color rgb="FFA5A5A5"/>
      <color rgb="FF173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Representation</a:t>
            </a:r>
            <a:r>
              <a:rPr lang="en-US" b="1" baseline="0"/>
              <a:t>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'1'!$J$4</c:f>
              <c:strCache>
                <c:ptCount val="1"/>
                <c:pt idx="0">
                  <c:v>% 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'1'!$J$5:$J$9</c:f>
              <c:numCache>
                <c:formatCode>0.0%</c:formatCode>
                <c:ptCount val="5"/>
                <c:pt idx="0">
                  <c:v>0.64012971220105386</c:v>
                </c:pt>
                <c:pt idx="1">
                  <c:v>0.6456493955233239</c:v>
                </c:pt>
                <c:pt idx="2">
                  <c:v>0.6466395139142318</c:v>
                </c:pt>
                <c:pt idx="3">
                  <c:v>0.64805409205443965</c:v>
                </c:pt>
                <c:pt idx="4">
                  <c:v>0.64841880567121701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A-C548-8AE0-294659E84C3D}"/>
            </c:ext>
          </c:extLst>
        </c:ser>
        <c:ser>
          <c:idx val="1"/>
          <c:order val="1"/>
          <c:tx>
            <c:strRef>
              <c:f>'1'!$K$4</c:f>
              <c:strCache>
                <c:ptCount val="1"/>
                <c:pt idx="0">
                  <c:v>% 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5B9BD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'1'!$K$5:$K$9</c:f>
              <c:numCache>
                <c:formatCode>0.0%</c:formatCode>
                <c:ptCount val="5"/>
                <c:pt idx="0">
                  <c:v>0.35987028779894609</c:v>
                </c:pt>
                <c:pt idx="1">
                  <c:v>0.3543506044766761</c:v>
                </c:pt>
                <c:pt idx="2">
                  <c:v>0.35336048608576826</c:v>
                </c:pt>
                <c:pt idx="3">
                  <c:v>0.35194590794556041</c:v>
                </c:pt>
                <c:pt idx="4">
                  <c:v>0.35158119432878299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A-C548-8AE0-294659E84C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4306752"/>
        <c:axId val="1464300672"/>
      </c:lineChart>
      <c:catAx>
        <c:axId val="14643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300672"/>
        <c:crosses val="autoZero"/>
        <c:auto val="1"/>
        <c:lblAlgn val="ctr"/>
        <c:lblOffset val="100"/>
        <c:noMultiLvlLbl val="0"/>
      </c:catAx>
      <c:valAx>
        <c:axId val="1464300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3067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Female 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'1'!$G$4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noFill/>
              </a:ln>
              <a:effectLst/>
            </c:spPr>
          </c:marker>
          <c:dLbls>
            <c:spPr>
              <a:solidFill>
                <a:srgbClr val="ED7D3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'1'!$G$5:$G$9</c:f>
              <c:numCache>
                <c:formatCode>_-* #,##0_-;\-* #,##0_-;_-* "-"??_-;_-@_-</c:formatCode>
                <c:ptCount val="5"/>
                <c:pt idx="0">
                  <c:v>244776</c:v>
                </c:pt>
                <c:pt idx="1">
                  <c:v>241981</c:v>
                </c:pt>
                <c:pt idx="2">
                  <c:v>242753</c:v>
                </c:pt>
                <c:pt idx="3">
                  <c:v>246129</c:v>
                </c:pt>
                <c:pt idx="4">
                  <c:v>246049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C-BB45-B3F4-843A530BEA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9609024"/>
        <c:axId val="1459602752"/>
      </c:lineChart>
      <c:catAx>
        <c:axId val="14596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2752"/>
        <c:crosses val="autoZero"/>
        <c:auto val="1"/>
        <c:lblAlgn val="ctr"/>
        <c:lblOffset val="100"/>
        <c:noMultiLvlLbl val="0"/>
      </c:catAx>
      <c:valAx>
        <c:axId val="1459602752"/>
        <c:scaling>
          <c:orientation val="minMax"/>
          <c:max val="250000"/>
          <c:min val="236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902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Male Headcount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'1'!$H$4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5B9BD5"/>
              </a:solidFill>
              <a:ln w="9525"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'1'!$H$5:$H$9</c:f>
              <c:numCache>
                <c:formatCode>_-* #,##0_-;\-* #,##0_-;_-* "-"??_-;_-@_-</c:formatCode>
                <c:ptCount val="5"/>
                <c:pt idx="0">
                  <c:v>137609</c:v>
                </c:pt>
                <c:pt idx="1">
                  <c:v>132806</c:v>
                </c:pt>
                <c:pt idx="2">
                  <c:v>132654</c:v>
                </c:pt>
                <c:pt idx="3">
                  <c:v>133668</c:v>
                </c:pt>
                <c:pt idx="4">
                  <c:v>133411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9-C74A-B6AC-B5FBD0DB3E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4848256"/>
        <c:axId val="1514849152"/>
      </c:lineChart>
      <c:catAx>
        <c:axId val="15148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49152"/>
        <c:crosses val="autoZero"/>
        <c:auto val="1"/>
        <c:lblAlgn val="ctr"/>
        <c:lblOffset val="100"/>
        <c:noMultiLvlLbl val="0"/>
      </c:catAx>
      <c:valAx>
        <c:axId val="1514849152"/>
        <c:scaling>
          <c:orientation val="minMax"/>
          <c:max val="14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4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'1'!$I$4</c:f>
              <c:strCache>
                <c:ptCount val="1"/>
                <c:pt idx="0">
                  <c:v>Total Headcount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6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5-764E-BB04-BD69CDD8D9FA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F5-764E-BB04-BD69CDD8D9FA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F5-764E-BB04-BD69CDD8D9FA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C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5-764E-BB04-BD69CDD8D9FA}"/>
              </c:ext>
            </c:extLst>
          </c:dPt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'1'!$F$5:$F$9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'1'!$I$5:$I$9</c:f>
              <c:numCache>
                <c:formatCode>_-* #,##0_-;\-* #,##0_-;_-* "-"??_-;_-@_-</c:formatCode>
                <c:ptCount val="5"/>
                <c:pt idx="0">
                  <c:v>382385</c:v>
                </c:pt>
                <c:pt idx="1">
                  <c:v>374787</c:v>
                </c:pt>
                <c:pt idx="2">
                  <c:v>375407</c:v>
                </c:pt>
                <c:pt idx="3">
                  <c:v>379797</c:v>
                </c:pt>
                <c:pt idx="4">
                  <c:v>379460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7-7A4A-96AB-2A38290066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3882112"/>
        <c:axId val="1515003328"/>
      </c:lineChart>
      <c:catAx>
        <c:axId val="14638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03328"/>
        <c:crosses val="autoZero"/>
        <c:auto val="1"/>
        <c:lblAlgn val="ctr"/>
        <c:lblOffset val="100"/>
        <c:noMultiLvlLbl val="0"/>
      </c:catAx>
      <c:valAx>
        <c:axId val="1515003328"/>
        <c:scaling>
          <c:orientation val="minMax"/>
          <c:max val="39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8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PT Representation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'1'!$T$36</c:f>
              <c:strCache>
                <c:ptCount val="1"/>
                <c:pt idx="0">
                  <c:v>% of females 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ED7D3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'1'!$S$37:$S$41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'1'!$T$37:$T$41</c:f>
              <c:numCache>
                <c:formatCode>0.0%</c:formatCode>
                <c:ptCount val="5"/>
                <c:pt idx="0">
                  <c:v>0.35944291924044841</c:v>
                </c:pt>
                <c:pt idx="1">
                  <c:v>0.37169447188002364</c:v>
                </c:pt>
                <c:pt idx="2">
                  <c:v>0.36359591848504447</c:v>
                </c:pt>
                <c:pt idx="3">
                  <c:v>0.36859126718103108</c:v>
                </c:pt>
                <c:pt idx="4">
                  <c:v>0.36665867367882005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A-714C-8E22-2313C602DDA0}"/>
            </c:ext>
          </c:extLst>
        </c:ser>
        <c:ser>
          <c:idx val="2"/>
          <c:order val="1"/>
          <c:tx>
            <c:strRef>
              <c:f>'1'!$U$36</c:f>
              <c:strCache>
                <c:ptCount val="1"/>
                <c:pt idx="0">
                  <c:v>% of males PT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'1'!$S$37:$S$41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'1'!$U$37:$U$41</c:f>
              <c:numCache>
                <c:formatCode>0.0%</c:formatCode>
                <c:ptCount val="5"/>
                <c:pt idx="0">
                  <c:v>0.10170119686939082</c:v>
                </c:pt>
                <c:pt idx="1">
                  <c:v>0.10769091757902505</c:v>
                </c:pt>
                <c:pt idx="2">
                  <c:v>0.11064875540880788</c:v>
                </c:pt>
                <c:pt idx="3">
                  <c:v>0.13994374120956399</c:v>
                </c:pt>
                <c:pt idx="4">
                  <c:v>0.16515879500191138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F0-EB41-9DD0-0DAE10E34571}"/>
            </c:ext>
          </c:extLst>
        </c:ser>
        <c:ser>
          <c:idx val="3"/>
          <c:order val="2"/>
          <c:tx>
            <c:strRef>
              <c:f>'1'!$V$36</c:f>
              <c:strCache>
                <c:ptCount val="1"/>
                <c:pt idx="0">
                  <c:v>Total Sector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'1'!$S$37:$S$41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'1'!$V$37:$V$41</c:f>
              <c:numCache>
                <c:formatCode>0.0%</c:formatCode>
                <c:ptCount val="5"/>
                <c:pt idx="0">
                  <c:v>0.26668933143297985</c:v>
                </c:pt>
                <c:pt idx="1">
                  <c:v>0.27814465282947382</c:v>
                </c:pt>
                <c:pt idx="2">
                  <c:v>0.2742143859864094</c:v>
                </c:pt>
                <c:pt idx="3">
                  <c:v>0.28811970605349702</c:v>
                </c:pt>
                <c:pt idx="4">
                  <c:v>0.29581510567648767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F0-EB41-9DD0-0DAE10E345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7819072"/>
        <c:axId val="1717828480"/>
      </c:lineChart>
      <c:catAx>
        <c:axId val="171781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28480"/>
        <c:crosses val="autoZero"/>
        <c:auto val="1"/>
        <c:lblAlgn val="ctr"/>
        <c:lblOffset val="100"/>
        <c:noMultiLvlLbl val="0"/>
      </c:catAx>
      <c:valAx>
        <c:axId val="171782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1907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361949</xdr:colOff>
      <xdr:row>1</xdr:row>
      <xdr:rowOff>152400</xdr:rowOff>
    </xdr:from>
    <xdr:to>
      <xdr:col>24</xdr:col>
      <xdr:colOff>293076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E4881-927F-29C1-B3FB-1AE5AA535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160482</xdr:colOff>
      <xdr:row>18</xdr:row>
      <xdr:rowOff>60037</xdr:rowOff>
    </xdr:from>
    <xdr:to>
      <xdr:col>5</xdr:col>
      <xdr:colOff>541482</xdr:colOff>
      <xdr:row>32</xdr:row>
      <xdr:rowOff>136237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CA60F1-9C2C-CFA6-3187-663CD5C22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82550</xdr:colOff>
      <xdr:row>18</xdr:row>
      <xdr:rowOff>76200</xdr:rowOff>
    </xdr:from>
    <xdr:to>
      <xdr:col>11</xdr:col>
      <xdr:colOff>31750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108BB4-207F-2546-5BB8-51FA0C7E5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285750</xdr:colOff>
      <xdr:row>18</xdr:row>
      <xdr:rowOff>88900</xdr:rowOff>
    </xdr:from>
    <xdr:to>
      <xdr:col>20</xdr:col>
      <xdr:colOff>101600</xdr:colOff>
      <xdr:row>32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7EFB9B-490C-9C0A-BB5C-94E2B69D2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620943</xdr:colOff>
      <xdr:row>34</xdr:row>
      <xdr:rowOff>148492</xdr:rowOff>
    </xdr:from>
    <xdr:to>
      <xdr:col>31</xdr:col>
      <xdr:colOff>466868</xdr:colOff>
      <xdr:row>48</xdr:row>
      <xdr:rowOff>185336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6D8B6A-2741-D44E-FF25-40A9D78BB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2.978832175926" createdVersion="8" refreshedVersion="8" minRefreshableVersion="3" recordCount="1840" xr:uid="{8BDCA430-C89A-7E47-B5AE-B16400B31199}">
  <cacheSource type="worksheet">
    <worksheetSource ref="A1:F1841" sheet="PT &amp; FT Data PivotTable format"/>
  </cacheSource>
  <cacheFields count="6">
    <cacheField name="Cluster" numFmtId="0">
      <sharedItems count="10">
        <s v="Education"/>
        <s v="Family &amp; Community Services"/>
        <s v="Finance, Services &amp; Innovation"/>
        <s v="Health"/>
        <s v="Industry"/>
        <s v="Justice"/>
        <s v="Planning &amp; Environment"/>
        <s v="Premier &amp; Cabinet"/>
        <s v="Transport"/>
        <s v="Treasury"/>
      </sharedItems>
    </cacheField>
    <cacheField name="Agency" numFmtId="0">
      <sharedItems count="92">
        <s v="Education Agency 1"/>
        <s v="Education Agency 2"/>
        <s v="Education Agency 3"/>
        <s v="Education Agency 4"/>
        <s v="Family &amp; Community Services Agency 1"/>
        <s v="Family &amp; Community Services Agency 2"/>
        <s v="Family &amp; Community Services Agency 3"/>
        <s v="Finance, Services &amp; Innovation Agency 1"/>
        <s v="Finance, Services &amp; Innovation Agency 2"/>
        <s v="Health Agency 1"/>
        <s v="Health Agency 10"/>
        <s v="Health Agency 11"/>
        <s v="Health Agency 12"/>
        <s v="Health Agency 13"/>
        <s v="Health Agency 14"/>
        <s v="Health Agency 15"/>
        <s v="Health Agency 16"/>
        <s v="Health Agency 17"/>
        <s v="Health Agency 18"/>
        <s v="Health Agency 19"/>
        <s v="Health Agency 2"/>
        <s v="Health Agency 20"/>
        <s v="Health Agency 21"/>
        <s v="Health Agency 22"/>
        <s v="Health Agency 23"/>
        <s v="Health Agency 24"/>
        <s v="Health Agency 25"/>
        <s v="Health Agency 26"/>
        <s v="Health Agency 27"/>
        <s v="Health Agency 28"/>
        <s v="Health Agency 29"/>
        <s v="Health Agency 3"/>
        <s v="Health Agency 30"/>
        <s v="Health Agency 31"/>
        <s v="Health Agency 32"/>
        <s v="Health Agency 33"/>
        <s v="Health Agency 4"/>
        <s v="Health Agency 5"/>
        <s v="Health Agency 6"/>
        <s v="Health Agency 7"/>
        <s v="Health Agency 8"/>
        <s v="Health Agency 9"/>
        <s v="Industry Agency 1"/>
        <s v="Industry Agency 2"/>
        <s v="Industry Agency 3"/>
        <s v="Industry Agency 4"/>
        <s v="Industry Agency 5"/>
        <s v="Industry Agency 6"/>
        <s v="Industry Agency 7"/>
        <s v="Industry Agency 8"/>
        <s v="Justice Agency 1"/>
        <s v="Justice Agency 10"/>
        <s v="Justice Agency 11"/>
        <s v="Justice Agency 12"/>
        <s v="Justice Agency 13"/>
        <s v="Justice Agency 14"/>
        <s v="Justice Agency 2"/>
        <s v="Justice Agency 3"/>
        <s v="Justice Agency 4"/>
        <s v="Justice Agency 5"/>
        <s v="Justice Agency 6"/>
        <s v="Justice Agency 7"/>
        <s v="Justice Agency 8"/>
        <s v="Justice Agency 9"/>
        <s v="Planning &amp; Environment Agency 1"/>
        <s v="Planning &amp; Environment Agency 2"/>
        <s v="Planning &amp; Environment Agency 3"/>
        <s v="Planning &amp; Environment Agency 4"/>
        <s v="Planning &amp; Environment Agency 5"/>
        <s v="Planning &amp; Environment Agency 6"/>
        <s v="Planning &amp; Environment Agency 7"/>
        <s v="Planning &amp; Environment Agency 8"/>
        <s v="Premier &amp; Cabinet Agency 1"/>
        <s v="Premier &amp; Cabinet Agency 10"/>
        <s v="Premier &amp; Cabinet Agency 11"/>
        <s v="Premier &amp; Cabinet Agency 2"/>
        <s v="Premier &amp; Cabinet Agency 3"/>
        <s v="Premier &amp; Cabinet Agency 4"/>
        <s v="Premier &amp; Cabinet Agency 5"/>
        <s v="Premier &amp; Cabinet Agency 6"/>
        <s v="Premier &amp; Cabinet Agency 7"/>
        <s v="Premier &amp; Cabinet Agency 8"/>
        <s v="Premier &amp; Cabinet Agency 9"/>
        <s v="Transport Agency 1"/>
        <s v="Transport Agency 2"/>
        <s v="Transport Agency 3"/>
        <s v="Transport Agency 4"/>
        <s v="Transport Agency 5"/>
        <s v="Transport Agency 6"/>
        <s v="Treasury Agency 1"/>
        <s v="Treasury Agency 2"/>
        <s v="Treasury Agency 3"/>
      </sharedItems>
    </cacheField>
    <cacheField name="Year" numFmtId="0">
      <sharedItems containsSemiMixedTypes="0" containsString="0" containsNumber="1" containsInteger="1" minValue="2014" maxValue="2018" count="5">
        <n v="2014"/>
        <n v="2015"/>
        <n v="2016"/>
        <n v="2017"/>
        <n v="2018"/>
      </sharedItems>
    </cacheField>
    <cacheField name="PT/FT" numFmtId="0">
      <sharedItems count="2">
        <s v="Full-Time"/>
        <s v="Part-Time"/>
      </sharedItems>
    </cacheField>
    <cacheField name="Gender" numFmtId="0">
      <sharedItems count="2">
        <s v="Female"/>
        <s v="Male"/>
      </sharedItems>
    </cacheField>
    <cacheField name="Headcount" numFmtId="165">
      <sharedItems containsSemiMixedTypes="0" containsString="0" containsNumber="1" containsInteger="1" minValue="5" maxValue="41521" count="817">
        <n v="180"/>
        <n v="2463"/>
        <n v="32"/>
        <n v="39251"/>
        <n v="9817"/>
        <n v="44"/>
        <n v="82"/>
        <n v="3205"/>
        <n v="308"/>
        <n v="76"/>
        <n v="58"/>
        <n v="83"/>
        <n v="22"/>
        <n v="2306"/>
        <n v="72"/>
        <n v="70"/>
        <n v="3186"/>
        <n v="6024"/>
        <n v="2698"/>
        <n v="730"/>
        <n v="262"/>
        <n v="11"/>
        <n v="1612"/>
        <n v="434"/>
        <n v="1657"/>
        <n v="2446"/>
        <n v="1686"/>
        <n v="5113"/>
        <n v="6124"/>
        <n v="6052"/>
        <n v="924"/>
        <n v="1609"/>
        <n v="2897"/>
        <n v="5826"/>
        <n v="2812"/>
        <n v="6274"/>
        <n v="120"/>
        <n v="2579"/>
        <n v="60"/>
        <n v="154"/>
        <n v="415"/>
        <n v="1840"/>
        <n v="81"/>
        <n v="86"/>
        <n v="24"/>
        <n v="288"/>
        <n v="29"/>
        <n v="10216"/>
        <n v="149"/>
        <n v="363"/>
        <n v="266"/>
        <n v="151"/>
        <n v="33"/>
        <n v="92"/>
        <n v="248"/>
        <n v="5436"/>
        <n v="389"/>
        <n v="17"/>
        <n v="602"/>
        <n v="195"/>
        <n v="63"/>
        <n v="6003"/>
        <n v="106"/>
        <n v="367"/>
        <n v="191"/>
        <n v="1370"/>
        <n v="41"/>
        <n v="169"/>
        <n v="714"/>
        <n v="14"/>
        <n v="27"/>
        <n v="71"/>
        <n v="261"/>
        <n v="85"/>
        <n v="18"/>
        <n v="267"/>
        <n v="129"/>
        <n v="413"/>
        <n v="1446"/>
        <n v="362"/>
        <n v="1595"/>
        <n v="1318"/>
        <n v="311"/>
        <n v="578"/>
        <n v="258"/>
        <n v="107"/>
        <n v="2797"/>
        <n v="6"/>
        <n v="16463"/>
        <n v="3803"/>
        <n v="3276"/>
        <n v="109"/>
        <n v="38"/>
        <n v="28"/>
        <n v="1190"/>
        <n v="15"/>
        <n v="47"/>
        <n v="1851"/>
        <n v="2247"/>
        <n v="1191"/>
        <n v="317"/>
        <n v="99"/>
        <n v="787"/>
        <n v="227"/>
        <n v="534"/>
        <n v="999"/>
        <n v="897"/>
        <n v="2229"/>
        <n v="2561"/>
        <n v="2194"/>
        <n v="336"/>
        <n v="3042"/>
        <n v="868"/>
        <n v="2635"/>
        <n v="1111"/>
        <n v="2571"/>
        <n v="9"/>
        <n v="30"/>
        <n v="1121"/>
        <n v="275"/>
        <n v="146"/>
        <n v="2502"/>
        <n v="460"/>
        <n v="306"/>
        <n v="42"/>
        <n v="66"/>
        <n v="7875"/>
        <n v="444"/>
        <n v="102"/>
        <n v="273"/>
        <n v="613"/>
        <n v="156"/>
        <n v="64"/>
        <n v="88"/>
        <n v="6472"/>
        <n v="3823"/>
        <n v="7"/>
        <n v="117"/>
        <n v="62"/>
        <n v="14550"/>
        <n v="416"/>
        <n v="239"/>
        <n v="2318"/>
        <n v="228"/>
        <n v="1977"/>
        <n v="21"/>
        <n v="40"/>
        <n v="185"/>
        <n v="37"/>
        <n v="54"/>
        <n v="23"/>
        <n v="325"/>
        <n v="1593"/>
        <n v="260"/>
        <n v="4586"/>
        <n v="4447"/>
        <n v="8920"/>
        <n v="1823"/>
        <n v="175"/>
        <n v="272"/>
        <n v="249"/>
        <n v="48"/>
        <n v="764"/>
        <n v="18410"/>
        <n v="16327"/>
        <n v="5794"/>
        <n v="483"/>
        <n v="19"/>
        <n v="13"/>
        <n v="1206"/>
        <n v="10"/>
        <n v="1718"/>
        <n v="5526"/>
        <n v="2123"/>
        <n v="305"/>
        <n v="5"/>
        <n v="1419"/>
        <n v="1307"/>
        <n v="2076"/>
        <n v="2808"/>
        <n v="2915"/>
        <n v="2403"/>
        <n v="1037"/>
        <n v="161"/>
        <n v="1561"/>
        <n v="1974"/>
        <n v="1703"/>
        <n v="2264"/>
        <n v="46"/>
        <n v="1987"/>
        <n v="461"/>
        <n v="55"/>
        <n v="8"/>
        <n v="142"/>
        <n v="2055"/>
        <n v="1142"/>
        <n v="240"/>
        <n v="51"/>
        <n v="1688"/>
        <n v="52"/>
        <n v="98"/>
        <n v="80"/>
        <n v="559"/>
        <n v="140"/>
        <n v="26"/>
        <n v="101"/>
        <n v="1253"/>
        <n v="160"/>
        <n v="143"/>
        <n v="49"/>
        <n v="1691"/>
        <n v="1163"/>
        <n v="2021"/>
        <n v="1034"/>
        <n v="73"/>
        <n v="192"/>
        <n v="544"/>
        <n v="220"/>
        <n v="31"/>
        <n v="253"/>
        <n v="69"/>
        <n v="179"/>
        <n v="357"/>
        <n v="501"/>
        <n v="482"/>
        <n v="409"/>
        <n v="225"/>
        <n v="391"/>
        <n v="377"/>
        <n v="263"/>
        <n v="74"/>
        <n v="25"/>
        <n v="521"/>
        <n v="202"/>
        <n v="615"/>
        <n v="392"/>
        <n v="16"/>
        <n v="176"/>
        <n v="1767"/>
        <n v="39222"/>
        <n v="9662"/>
        <n v="3245"/>
        <n v="94"/>
        <n v="2297"/>
        <n v="2941"/>
        <n v="6104"/>
        <n v="748"/>
        <n v="297"/>
        <n v="1548"/>
        <n v="503"/>
        <n v="1556"/>
        <n v="2485"/>
        <n v="1649"/>
        <n v="5175"/>
        <n v="6202"/>
        <n v="6250"/>
        <n v="955"/>
        <n v="1693"/>
        <n v="2876"/>
        <n v="5845"/>
        <n v="2737"/>
        <n v="6434"/>
        <n v="136"/>
        <n v="2687"/>
        <n v="174"/>
        <n v="418"/>
        <n v="4836"/>
        <n v="381"/>
        <n v="264"/>
        <n v="158"/>
        <n v="226"/>
        <n v="5672"/>
        <n v="403"/>
        <n v="619"/>
        <n v="65"/>
        <n v="6087"/>
        <n v="270"/>
        <n v="207"/>
        <n v="95"/>
        <n v="1353"/>
        <n v="271"/>
        <n v="35"/>
        <n v="131"/>
        <n v="439"/>
        <n v="50"/>
        <n v="1439"/>
        <n v="340"/>
        <n v="1822"/>
        <n v="1477"/>
        <n v="400"/>
        <n v="289"/>
        <n v="105"/>
        <n v="2115"/>
        <n v="16031"/>
        <n v="3687"/>
        <n v="20"/>
        <n v="3221"/>
        <n v="324"/>
        <n v="1192"/>
        <n v="1554"/>
        <n v="2266"/>
        <n v="1230"/>
        <n v="104"/>
        <n v="710"/>
        <n v="234"/>
        <n v="471"/>
        <n v="988"/>
        <n v="872"/>
        <n v="2221"/>
        <n v="2572"/>
        <n v="2241"/>
        <n v="3033"/>
        <n v="861"/>
        <n v="2654"/>
        <n v="1044"/>
        <n v="2606"/>
        <n v="36"/>
        <n v="1114"/>
        <n v="296"/>
        <n v="3505"/>
        <n v="284"/>
        <n v="609"/>
        <n v="159"/>
        <n v="91"/>
        <n v="6719"/>
        <n v="3853"/>
        <n v="283"/>
        <n v="61"/>
        <n v="14721"/>
        <n v="310"/>
        <n v="247"/>
        <n v="119"/>
        <n v="2335"/>
        <n v="39"/>
        <n v="186"/>
        <n v="1669"/>
        <n v="4385"/>
        <n v="4358"/>
        <n v="9122"/>
        <n v="2026"/>
        <n v="295"/>
        <n v="255"/>
        <n v="620"/>
        <n v="18852"/>
        <n v="17291"/>
        <n v="5773"/>
        <n v="580"/>
        <n v="292"/>
        <n v="1239"/>
        <n v="1766"/>
        <n v="5894"/>
        <n v="2162"/>
        <n v="327"/>
        <n v="393"/>
        <n v="1450"/>
        <n v="1363"/>
        <n v="2187"/>
        <n v="2855"/>
        <n v="3017"/>
        <n v="2551"/>
        <n v="1113"/>
        <n v="171"/>
        <n v="2020"/>
        <n v="1734"/>
        <n v="2325"/>
        <n v="2098"/>
        <n v="172"/>
        <n v="961"/>
        <n v="1107"/>
        <n v="245"/>
        <n v="1770"/>
        <n v="53"/>
        <n v="90"/>
        <n v="585"/>
        <n v="59"/>
        <n v="983"/>
        <n v="205"/>
        <n v="182"/>
        <n v="1670"/>
        <n v="1250"/>
        <n v="2233"/>
        <n v="1017"/>
        <n v="112"/>
        <n v="591"/>
        <n v="359"/>
        <n v="547"/>
        <n v="524"/>
        <n v="115"/>
        <n v="405"/>
        <n v="197"/>
        <n v="125"/>
        <n v="472"/>
        <n v="187"/>
        <n v="212"/>
        <n v="40218"/>
        <n v="8828"/>
        <n v="79"/>
        <n v="2893"/>
        <n v="906"/>
        <n v="2368"/>
        <n v="132"/>
        <n v="2940"/>
        <n v="6053"/>
        <n v="2871"/>
        <n v="775"/>
        <n v="1510"/>
        <n v="490"/>
        <n v="1540"/>
        <n v="1553"/>
        <n v="5327"/>
        <n v="6284"/>
        <n v="6310"/>
        <n v="960"/>
        <n v="1762"/>
        <n v="2932"/>
        <n v="5872"/>
        <n v="2791"/>
        <n v="6771"/>
        <n v="2660"/>
        <n v="198"/>
        <n v="428"/>
        <n v="1862"/>
        <n v="4703"/>
        <n v="77"/>
        <n v="282"/>
        <n v="173"/>
        <n v="113"/>
        <n v="6376"/>
        <n v="681"/>
        <n v="184"/>
        <n v="6067"/>
        <n v="224"/>
        <n v="123"/>
        <n v="1457"/>
        <n v="193"/>
        <n v="747"/>
        <n v="354"/>
        <n v="43"/>
        <n v="438"/>
        <n v="1312"/>
        <n v="332"/>
        <n v="1726"/>
        <n v="1512"/>
        <n v="378"/>
        <n v="251"/>
        <n v="110"/>
        <n v="2118"/>
        <n v="16012"/>
        <n v="3295"/>
        <n v="2790"/>
        <n v="510"/>
        <n v="1229"/>
        <n v="1705"/>
        <n v="2235"/>
        <n v="343"/>
        <n v="695"/>
        <n v="233"/>
        <n v="1032"/>
        <n v="819"/>
        <n v="2364"/>
        <n v="2650"/>
        <n v="2282"/>
        <n v="361"/>
        <n v="3047"/>
        <n v="878"/>
        <n v="2747"/>
        <n v="997"/>
        <n v="2765"/>
        <n v="1117"/>
        <n v="335"/>
        <n v="2438"/>
        <n v="527"/>
        <n v="304"/>
        <n v="3265"/>
        <n v="68"/>
        <n v="630"/>
        <n v="97"/>
        <n v="114"/>
        <n v="6792"/>
        <n v="3903"/>
        <n v="281"/>
        <n v="14629"/>
        <n v="268"/>
        <n v="2263"/>
        <n v="219"/>
        <n v="1957"/>
        <n v="218"/>
        <n v="290"/>
        <n v="4228"/>
        <n v="4451"/>
        <n v="8827"/>
        <n v="1972"/>
        <n v="256"/>
        <n v="665"/>
        <n v="19727"/>
        <n v="18508"/>
        <n v="2836"/>
        <n v="568"/>
        <n v="5564"/>
        <n v="2219"/>
        <n v="330"/>
        <n v="399"/>
        <n v="1436"/>
        <n v="1424"/>
        <n v="1341"/>
        <n v="2192"/>
        <n v="3023"/>
        <n v="2995"/>
        <n v="2584"/>
        <n v="1136"/>
        <n v="168"/>
        <n v="1996"/>
        <n v="2383"/>
        <n v="2136"/>
        <n v="457"/>
        <n v="148"/>
        <n v="801"/>
        <n v="96"/>
        <n v="238"/>
        <n v="1818"/>
        <n v="103"/>
        <n v="567"/>
        <n v="116"/>
        <n v="833"/>
        <n v="201"/>
        <n v="190"/>
        <n v="1724"/>
        <n v="1377"/>
        <n v="2474"/>
        <n v="717"/>
        <n v="394"/>
        <n v="571"/>
        <n v="200"/>
        <n v="569"/>
        <n v="536"/>
        <n v="443"/>
        <n v="237"/>
        <n v="421"/>
        <n v="209"/>
        <n v="57"/>
        <n v="528"/>
        <n v="459"/>
        <n v="246"/>
        <n v="2225"/>
        <n v="40742"/>
        <n v="8642"/>
        <n v="2715"/>
        <n v="1054"/>
        <n v="2929"/>
        <n v="6090"/>
        <n v="2920"/>
        <n v="724"/>
        <n v="293"/>
        <n v="1557"/>
        <n v="1581"/>
        <n v="2680"/>
        <n v="5227"/>
        <n v="6244"/>
        <n v="6500"/>
        <n v="939"/>
        <n v="1833"/>
        <n v="2999"/>
        <n v="5455"/>
        <n v="2848"/>
        <n v="6930"/>
        <n v="2723"/>
        <n v="252"/>
        <n v="1812"/>
        <n v="121"/>
        <n v="301"/>
        <n v="4655"/>
        <n v="468"/>
        <n v="286"/>
        <n v="183"/>
        <n v="118"/>
        <n v="5923"/>
        <n v="512"/>
        <n v="722"/>
        <n v="6026"/>
        <n v="574"/>
        <n v="126"/>
        <n v="1479"/>
        <n v="777"/>
        <n v="84"/>
        <n v="366"/>
        <n v="108"/>
        <n v="341"/>
        <n v="464"/>
        <n v="1262"/>
        <n v="307"/>
        <n v="1743"/>
        <n v="1873"/>
        <n v="412"/>
        <n v="2154"/>
        <n v="14813"/>
        <n v="3209"/>
        <n v="2345"/>
        <n v="558"/>
        <n v="1219"/>
        <n v="1720"/>
        <n v="2195"/>
        <n v="1193"/>
        <n v="657"/>
        <n v="241"/>
        <n v="497"/>
        <n v="1073"/>
        <n v="813"/>
        <n v="2644"/>
        <n v="2351"/>
        <n v="352"/>
        <n v="2957"/>
        <n v="840"/>
        <n v="2444"/>
        <n v="1006"/>
        <n v="2854"/>
        <n v="1088"/>
        <n v="411"/>
        <n v="153"/>
        <n v="2084"/>
        <n v="506"/>
        <n v="371"/>
        <n v="3105"/>
        <n v="581"/>
        <n v="75"/>
        <n v="655"/>
        <n v="167"/>
        <n v="93"/>
        <n v="6807"/>
        <n v="3601"/>
        <n v="14659"/>
        <n v="621"/>
        <n v="134"/>
        <n v="2250"/>
        <n v="214"/>
        <n v="1872"/>
        <n v="257"/>
        <n v="435"/>
        <n v="1700"/>
        <n v="4114"/>
        <n v="4465"/>
        <n v="8301"/>
        <n v="2010"/>
        <n v="244"/>
        <n v="746"/>
        <n v="19415"/>
        <n v="18944"/>
        <n v="2726"/>
        <n v="914"/>
        <n v="1242"/>
        <n v="1815"/>
        <n v="5616"/>
        <n v="2303"/>
        <n v="351"/>
        <n v="1514"/>
        <n v="1468"/>
        <n v="1371"/>
        <n v="2334"/>
        <n v="2991"/>
        <n v="2968"/>
        <n v="2633"/>
        <n v="1175"/>
        <n v="1659"/>
        <n v="2465"/>
        <n v="1817"/>
        <n v="2481"/>
        <n v="2147"/>
        <n v="390"/>
        <n v="883"/>
        <n v="882"/>
        <n v="1900"/>
        <n v="649"/>
        <n v="135"/>
        <n v="783"/>
        <n v="206"/>
        <n v="1712"/>
        <n v="2211"/>
        <n v="3512"/>
        <n v="216"/>
        <n v="300"/>
        <n v="217"/>
        <n v="454"/>
        <n v="223"/>
        <n v="854"/>
        <n v="299"/>
        <n v="137"/>
        <n v="152"/>
        <n v="141"/>
        <n v="500"/>
        <n v="526"/>
        <n v="699"/>
        <n v="338"/>
        <n v="2666"/>
        <n v="41521"/>
        <n v="6734"/>
        <n v="2454"/>
        <n v="1240"/>
        <n v="2376"/>
        <n v="3196"/>
        <n v="6173"/>
        <n v="2899"/>
        <n v="766"/>
        <n v="1499"/>
        <n v="632"/>
        <n v="1652"/>
        <n v="2716"/>
        <n v="1572"/>
        <n v="5198"/>
        <n v="6452"/>
        <n v="6903"/>
        <n v="929"/>
        <n v="2012"/>
        <n v="3130"/>
        <n v="5121"/>
        <n v="6866"/>
        <n v="2852"/>
        <n v="436"/>
        <n v="333"/>
        <n v="479"/>
        <n v="291"/>
        <n v="236"/>
        <n v="6446"/>
        <n v="6030"/>
        <n v="1324"/>
        <n v="222"/>
        <n v="792"/>
        <n v="407"/>
        <n v="1922"/>
        <n v="1983"/>
        <n v="492"/>
        <n v="274"/>
        <n v="2294"/>
        <n v="13645"/>
        <n v="2240"/>
        <n v="2100"/>
        <n v="666"/>
        <n v="2034"/>
        <n v="2217"/>
        <n v="1214"/>
        <n v="358"/>
        <n v="622"/>
        <n v="259"/>
        <n v="531"/>
        <n v="1115"/>
        <n v="829"/>
        <n v="2068"/>
        <n v="2802"/>
        <n v="2492"/>
        <n v="355"/>
        <n v="3080"/>
        <n v="857"/>
        <n v="2155"/>
        <n v="2776"/>
        <n v="491"/>
        <n v="2038"/>
        <n v="481"/>
        <n v="517"/>
        <n v="597"/>
        <n v="676"/>
        <n v="7172"/>
        <n v="314"/>
        <n v="14762"/>
        <n v="931"/>
        <n v="280"/>
        <n v="87"/>
        <n v="2078"/>
        <n v="1855"/>
        <n v="469"/>
        <n v="4157"/>
        <n v="4240"/>
        <n v="7845"/>
        <n v="1945"/>
        <n v="278"/>
        <n v="19110"/>
        <n v="19249"/>
        <n v="845"/>
        <n v="523"/>
        <n v="1273"/>
        <n v="1969"/>
        <n v="5830"/>
        <n v="2441"/>
        <n v="369"/>
        <n v="1604"/>
        <n v="1489"/>
        <n v="2464"/>
        <n v="2969"/>
        <n v="2998"/>
        <n v="2739"/>
        <n v="1246"/>
        <n v="1722"/>
        <n v="2985"/>
        <n v="1854"/>
        <n v="2260"/>
        <n v="163"/>
        <n v="404"/>
        <n v="165"/>
        <n v="909"/>
        <n v="1883"/>
        <n v="598"/>
        <n v="723"/>
        <n v="1687"/>
        <n v="2501"/>
        <n v="4588"/>
        <n v="604"/>
        <n v="231"/>
        <n v="493"/>
        <n v="653"/>
        <n v="323"/>
        <n v="586"/>
        <n v="164"/>
        <n v="230"/>
        <n v="1504"/>
        <n v="466"/>
        <n v="145"/>
        <n v="516"/>
        <n v="498"/>
        <n v="1354"/>
        <n v="5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0">
  <r>
    <x v="0"/>
    <x v="0"/>
    <x v="0"/>
    <x v="0"/>
    <x v="0"/>
    <x v="0"/>
  </r>
  <r>
    <x v="0"/>
    <x v="1"/>
    <x v="0"/>
    <x v="0"/>
    <x v="0"/>
    <x v="1"/>
  </r>
  <r>
    <x v="0"/>
    <x v="2"/>
    <x v="0"/>
    <x v="0"/>
    <x v="0"/>
    <x v="2"/>
  </r>
  <r>
    <x v="0"/>
    <x v="3"/>
    <x v="0"/>
    <x v="0"/>
    <x v="0"/>
    <x v="3"/>
  </r>
  <r>
    <x v="1"/>
    <x v="4"/>
    <x v="0"/>
    <x v="0"/>
    <x v="0"/>
    <x v="4"/>
  </r>
  <r>
    <x v="1"/>
    <x v="5"/>
    <x v="0"/>
    <x v="0"/>
    <x v="0"/>
    <x v="5"/>
  </r>
  <r>
    <x v="1"/>
    <x v="6"/>
    <x v="0"/>
    <x v="0"/>
    <x v="0"/>
    <x v="6"/>
  </r>
  <r>
    <x v="2"/>
    <x v="7"/>
    <x v="0"/>
    <x v="0"/>
    <x v="0"/>
    <x v="7"/>
  </r>
  <r>
    <x v="2"/>
    <x v="8"/>
    <x v="0"/>
    <x v="0"/>
    <x v="0"/>
    <x v="8"/>
  </r>
  <r>
    <x v="3"/>
    <x v="9"/>
    <x v="0"/>
    <x v="0"/>
    <x v="0"/>
    <x v="9"/>
  </r>
  <r>
    <x v="3"/>
    <x v="10"/>
    <x v="0"/>
    <x v="0"/>
    <x v="0"/>
    <x v="10"/>
  </r>
  <r>
    <x v="3"/>
    <x v="11"/>
    <x v="0"/>
    <x v="0"/>
    <x v="0"/>
    <x v="11"/>
  </r>
  <r>
    <x v="3"/>
    <x v="12"/>
    <x v="0"/>
    <x v="0"/>
    <x v="0"/>
    <x v="12"/>
  </r>
  <r>
    <x v="3"/>
    <x v="13"/>
    <x v="0"/>
    <x v="0"/>
    <x v="0"/>
    <x v="13"/>
  </r>
  <r>
    <x v="3"/>
    <x v="14"/>
    <x v="0"/>
    <x v="0"/>
    <x v="0"/>
    <x v="14"/>
  </r>
  <r>
    <x v="3"/>
    <x v="15"/>
    <x v="0"/>
    <x v="0"/>
    <x v="0"/>
    <x v="15"/>
  </r>
  <r>
    <x v="3"/>
    <x v="16"/>
    <x v="0"/>
    <x v="0"/>
    <x v="0"/>
    <x v="16"/>
  </r>
  <r>
    <x v="3"/>
    <x v="17"/>
    <x v="0"/>
    <x v="0"/>
    <x v="0"/>
    <x v="17"/>
  </r>
  <r>
    <x v="3"/>
    <x v="18"/>
    <x v="0"/>
    <x v="0"/>
    <x v="0"/>
    <x v="18"/>
  </r>
  <r>
    <x v="3"/>
    <x v="19"/>
    <x v="0"/>
    <x v="0"/>
    <x v="0"/>
    <x v="19"/>
  </r>
  <r>
    <x v="3"/>
    <x v="20"/>
    <x v="0"/>
    <x v="0"/>
    <x v="0"/>
    <x v="20"/>
  </r>
  <r>
    <x v="3"/>
    <x v="21"/>
    <x v="0"/>
    <x v="0"/>
    <x v="0"/>
    <x v="21"/>
  </r>
  <r>
    <x v="3"/>
    <x v="22"/>
    <x v="0"/>
    <x v="0"/>
    <x v="0"/>
    <x v="22"/>
  </r>
  <r>
    <x v="3"/>
    <x v="23"/>
    <x v="0"/>
    <x v="0"/>
    <x v="0"/>
    <x v="23"/>
  </r>
  <r>
    <x v="3"/>
    <x v="24"/>
    <x v="0"/>
    <x v="0"/>
    <x v="0"/>
    <x v="24"/>
  </r>
  <r>
    <x v="3"/>
    <x v="25"/>
    <x v="0"/>
    <x v="0"/>
    <x v="0"/>
    <x v="25"/>
  </r>
  <r>
    <x v="3"/>
    <x v="26"/>
    <x v="0"/>
    <x v="0"/>
    <x v="0"/>
    <x v="26"/>
  </r>
  <r>
    <x v="3"/>
    <x v="27"/>
    <x v="0"/>
    <x v="0"/>
    <x v="0"/>
    <x v="27"/>
  </r>
  <r>
    <x v="3"/>
    <x v="28"/>
    <x v="0"/>
    <x v="0"/>
    <x v="0"/>
    <x v="28"/>
  </r>
  <r>
    <x v="3"/>
    <x v="29"/>
    <x v="0"/>
    <x v="0"/>
    <x v="0"/>
    <x v="29"/>
  </r>
  <r>
    <x v="3"/>
    <x v="30"/>
    <x v="0"/>
    <x v="0"/>
    <x v="0"/>
    <x v="30"/>
  </r>
  <r>
    <x v="3"/>
    <x v="31"/>
    <x v="0"/>
    <x v="0"/>
    <x v="0"/>
    <x v="31"/>
  </r>
  <r>
    <x v="3"/>
    <x v="32"/>
    <x v="0"/>
    <x v="0"/>
    <x v="0"/>
    <x v="32"/>
  </r>
  <r>
    <x v="3"/>
    <x v="33"/>
    <x v="0"/>
    <x v="0"/>
    <x v="0"/>
    <x v="33"/>
  </r>
  <r>
    <x v="3"/>
    <x v="34"/>
    <x v="0"/>
    <x v="0"/>
    <x v="0"/>
    <x v="34"/>
  </r>
  <r>
    <x v="3"/>
    <x v="35"/>
    <x v="0"/>
    <x v="0"/>
    <x v="0"/>
    <x v="35"/>
  </r>
  <r>
    <x v="3"/>
    <x v="36"/>
    <x v="0"/>
    <x v="0"/>
    <x v="0"/>
    <x v="12"/>
  </r>
  <r>
    <x v="3"/>
    <x v="37"/>
    <x v="0"/>
    <x v="0"/>
    <x v="0"/>
    <x v="36"/>
  </r>
  <r>
    <x v="3"/>
    <x v="38"/>
    <x v="0"/>
    <x v="0"/>
    <x v="0"/>
    <x v="37"/>
  </r>
  <r>
    <x v="3"/>
    <x v="39"/>
    <x v="0"/>
    <x v="0"/>
    <x v="0"/>
    <x v="38"/>
  </r>
  <r>
    <x v="3"/>
    <x v="40"/>
    <x v="0"/>
    <x v="0"/>
    <x v="0"/>
    <x v="39"/>
  </r>
  <r>
    <x v="3"/>
    <x v="41"/>
    <x v="0"/>
    <x v="0"/>
    <x v="0"/>
    <x v="40"/>
  </r>
  <r>
    <x v="4"/>
    <x v="42"/>
    <x v="0"/>
    <x v="0"/>
    <x v="0"/>
    <x v="41"/>
  </r>
  <r>
    <x v="4"/>
    <x v="43"/>
    <x v="0"/>
    <x v="0"/>
    <x v="0"/>
    <x v="42"/>
  </r>
  <r>
    <x v="4"/>
    <x v="44"/>
    <x v="0"/>
    <x v="0"/>
    <x v="0"/>
    <x v="43"/>
  </r>
  <r>
    <x v="4"/>
    <x v="45"/>
    <x v="0"/>
    <x v="0"/>
    <x v="0"/>
    <x v="44"/>
  </r>
  <r>
    <x v="4"/>
    <x v="46"/>
    <x v="0"/>
    <x v="0"/>
    <x v="0"/>
    <x v="45"/>
  </r>
  <r>
    <x v="4"/>
    <x v="47"/>
    <x v="0"/>
    <x v="0"/>
    <x v="0"/>
    <x v="46"/>
  </r>
  <r>
    <x v="4"/>
    <x v="48"/>
    <x v="0"/>
    <x v="0"/>
    <x v="0"/>
    <x v="47"/>
  </r>
  <r>
    <x v="4"/>
    <x v="49"/>
    <x v="0"/>
    <x v="0"/>
    <x v="0"/>
    <x v="48"/>
  </r>
  <r>
    <x v="5"/>
    <x v="50"/>
    <x v="0"/>
    <x v="0"/>
    <x v="0"/>
    <x v="43"/>
  </r>
  <r>
    <x v="5"/>
    <x v="51"/>
    <x v="0"/>
    <x v="0"/>
    <x v="0"/>
    <x v="49"/>
  </r>
  <r>
    <x v="5"/>
    <x v="52"/>
    <x v="0"/>
    <x v="0"/>
    <x v="0"/>
    <x v="50"/>
  </r>
  <r>
    <x v="5"/>
    <x v="53"/>
    <x v="0"/>
    <x v="0"/>
    <x v="0"/>
    <x v="51"/>
  </r>
  <r>
    <x v="5"/>
    <x v="54"/>
    <x v="0"/>
    <x v="0"/>
    <x v="0"/>
    <x v="52"/>
  </r>
  <r>
    <x v="5"/>
    <x v="55"/>
    <x v="0"/>
    <x v="0"/>
    <x v="0"/>
    <x v="53"/>
  </r>
  <r>
    <x v="5"/>
    <x v="56"/>
    <x v="0"/>
    <x v="0"/>
    <x v="0"/>
    <x v="54"/>
  </r>
  <r>
    <x v="5"/>
    <x v="57"/>
    <x v="0"/>
    <x v="0"/>
    <x v="0"/>
    <x v="55"/>
  </r>
  <r>
    <x v="5"/>
    <x v="58"/>
    <x v="0"/>
    <x v="0"/>
    <x v="0"/>
    <x v="56"/>
  </r>
  <r>
    <x v="5"/>
    <x v="59"/>
    <x v="0"/>
    <x v="0"/>
    <x v="0"/>
    <x v="57"/>
  </r>
  <r>
    <x v="5"/>
    <x v="60"/>
    <x v="0"/>
    <x v="0"/>
    <x v="0"/>
    <x v="58"/>
  </r>
  <r>
    <x v="5"/>
    <x v="61"/>
    <x v="0"/>
    <x v="0"/>
    <x v="0"/>
    <x v="59"/>
  </r>
  <r>
    <x v="5"/>
    <x v="62"/>
    <x v="0"/>
    <x v="0"/>
    <x v="0"/>
    <x v="60"/>
  </r>
  <r>
    <x v="5"/>
    <x v="63"/>
    <x v="0"/>
    <x v="0"/>
    <x v="0"/>
    <x v="61"/>
  </r>
  <r>
    <x v="6"/>
    <x v="64"/>
    <x v="0"/>
    <x v="0"/>
    <x v="0"/>
    <x v="62"/>
  </r>
  <r>
    <x v="6"/>
    <x v="65"/>
    <x v="0"/>
    <x v="0"/>
    <x v="0"/>
    <x v="63"/>
  </r>
  <r>
    <x v="6"/>
    <x v="66"/>
    <x v="0"/>
    <x v="0"/>
    <x v="0"/>
    <x v="64"/>
  </r>
  <r>
    <x v="6"/>
    <x v="67"/>
    <x v="0"/>
    <x v="0"/>
    <x v="0"/>
    <x v="42"/>
  </r>
  <r>
    <x v="6"/>
    <x v="68"/>
    <x v="0"/>
    <x v="0"/>
    <x v="0"/>
    <x v="65"/>
  </r>
  <r>
    <x v="6"/>
    <x v="69"/>
    <x v="0"/>
    <x v="0"/>
    <x v="0"/>
    <x v="66"/>
  </r>
  <r>
    <x v="6"/>
    <x v="70"/>
    <x v="0"/>
    <x v="0"/>
    <x v="0"/>
    <x v="67"/>
  </r>
  <r>
    <x v="6"/>
    <x v="71"/>
    <x v="0"/>
    <x v="0"/>
    <x v="0"/>
    <x v="68"/>
  </r>
  <r>
    <x v="7"/>
    <x v="72"/>
    <x v="0"/>
    <x v="0"/>
    <x v="0"/>
    <x v="69"/>
  </r>
  <r>
    <x v="7"/>
    <x v="73"/>
    <x v="0"/>
    <x v="0"/>
    <x v="0"/>
    <x v="70"/>
  </r>
  <r>
    <x v="7"/>
    <x v="74"/>
    <x v="0"/>
    <x v="0"/>
    <x v="0"/>
    <x v="71"/>
  </r>
  <r>
    <x v="7"/>
    <x v="75"/>
    <x v="0"/>
    <x v="0"/>
    <x v="0"/>
    <x v="72"/>
  </r>
  <r>
    <x v="7"/>
    <x v="76"/>
    <x v="0"/>
    <x v="0"/>
    <x v="0"/>
    <x v="73"/>
  </r>
  <r>
    <x v="7"/>
    <x v="77"/>
    <x v="0"/>
    <x v="0"/>
    <x v="0"/>
    <x v="10"/>
  </r>
  <r>
    <x v="7"/>
    <x v="78"/>
    <x v="0"/>
    <x v="0"/>
    <x v="0"/>
    <x v="74"/>
  </r>
  <r>
    <x v="7"/>
    <x v="79"/>
    <x v="0"/>
    <x v="0"/>
    <x v="0"/>
    <x v="69"/>
  </r>
  <r>
    <x v="7"/>
    <x v="80"/>
    <x v="0"/>
    <x v="0"/>
    <x v="0"/>
    <x v="2"/>
  </r>
  <r>
    <x v="7"/>
    <x v="81"/>
    <x v="0"/>
    <x v="0"/>
    <x v="0"/>
    <x v="75"/>
  </r>
  <r>
    <x v="7"/>
    <x v="82"/>
    <x v="0"/>
    <x v="0"/>
    <x v="0"/>
    <x v="76"/>
  </r>
  <r>
    <x v="8"/>
    <x v="83"/>
    <x v="0"/>
    <x v="0"/>
    <x v="0"/>
    <x v="77"/>
  </r>
  <r>
    <x v="8"/>
    <x v="84"/>
    <x v="0"/>
    <x v="0"/>
    <x v="0"/>
    <x v="5"/>
  </r>
  <r>
    <x v="8"/>
    <x v="85"/>
    <x v="0"/>
    <x v="0"/>
    <x v="0"/>
    <x v="78"/>
  </r>
  <r>
    <x v="8"/>
    <x v="86"/>
    <x v="0"/>
    <x v="0"/>
    <x v="0"/>
    <x v="79"/>
  </r>
  <r>
    <x v="8"/>
    <x v="87"/>
    <x v="0"/>
    <x v="0"/>
    <x v="0"/>
    <x v="80"/>
  </r>
  <r>
    <x v="8"/>
    <x v="88"/>
    <x v="0"/>
    <x v="0"/>
    <x v="0"/>
    <x v="81"/>
  </r>
  <r>
    <x v="9"/>
    <x v="89"/>
    <x v="0"/>
    <x v="0"/>
    <x v="0"/>
    <x v="82"/>
  </r>
  <r>
    <x v="9"/>
    <x v="90"/>
    <x v="0"/>
    <x v="0"/>
    <x v="0"/>
    <x v="83"/>
  </r>
  <r>
    <x v="9"/>
    <x v="91"/>
    <x v="0"/>
    <x v="0"/>
    <x v="0"/>
    <x v="84"/>
  </r>
  <r>
    <x v="0"/>
    <x v="0"/>
    <x v="0"/>
    <x v="0"/>
    <x v="1"/>
    <x v="85"/>
  </r>
  <r>
    <x v="0"/>
    <x v="1"/>
    <x v="0"/>
    <x v="0"/>
    <x v="1"/>
    <x v="86"/>
  </r>
  <r>
    <x v="0"/>
    <x v="2"/>
    <x v="0"/>
    <x v="0"/>
    <x v="1"/>
    <x v="87"/>
  </r>
  <r>
    <x v="0"/>
    <x v="3"/>
    <x v="0"/>
    <x v="0"/>
    <x v="1"/>
    <x v="88"/>
  </r>
  <r>
    <x v="1"/>
    <x v="4"/>
    <x v="0"/>
    <x v="0"/>
    <x v="1"/>
    <x v="89"/>
  </r>
  <r>
    <x v="1"/>
    <x v="5"/>
    <x v="0"/>
    <x v="0"/>
    <x v="1"/>
    <x v="12"/>
  </r>
  <r>
    <x v="1"/>
    <x v="6"/>
    <x v="0"/>
    <x v="0"/>
    <x v="1"/>
    <x v="44"/>
  </r>
  <r>
    <x v="2"/>
    <x v="7"/>
    <x v="0"/>
    <x v="0"/>
    <x v="1"/>
    <x v="90"/>
  </r>
  <r>
    <x v="2"/>
    <x v="8"/>
    <x v="0"/>
    <x v="0"/>
    <x v="1"/>
    <x v="91"/>
  </r>
  <r>
    <x v="3"/>
    <x v="9"/>
    <x v="0"/>
    <x v="0"/>
    <x v="1"/>
    <x v="52"/>
  </r>
  <r>
    <x v="3"/>
    <x v="10"/>
    <x v="0"/>
    <x v="0"/>
    <x v="1"/>
    <x v="74"/>
  </r>
  <r>
    <x v="3"/>
    <x v="11"/>
    <x v="0"/>
    <x v="0"/>
    <x v="1"/>
    <x v="92"/>
  </r>
  <r>
    <x v="3"/>
    <x v="12"/>
    <x v="0"/>
    <x v="0"/>
    <x v="1"/>
    <x v="93"/>
  </r>
  <r>
    <x v="3"/>
    <x v="13"/>
    <x v="0"/>
    <x v="0"/>
    <x v="1"/>
    <x v="94"/>
  </r>
  <r>
    <x v="3"/>
    <x v="14"/>
    <x v="0"/>
    <x v="0"/>
    <x v="1"/>
    <x v="95"/>
  </r>
  <r>
    <x v="3"/>
    <x v="15"/>
    <x v="0"/>
    <x v="0"/>
    <x v="1"/>
    <x v="96"/>
  </r>
  <r>
    <x v="3"/>
    <x v="16"/>
    <x v="0"/>
    <x v="0"/>
    <x v="1"/>
    <x v="97"/>
  </r>
  <r>
    <x v="3"/>
    <x v="17"/>
    <x v="0"/>
    <x v="0"/>
    <x v="1"/>
    <x v="98"/>
  </r>
  <r>
    <x v="3"/>
    <x v="18"/>
    <x v="0"/>
    <x v="0"/>
    <x v="1"/>
    <x v="99"/>
  </r>
  <r>
    <x v="3"/>
    <x v="19"/>
    <x v="0"/>
    <x v="0"/>
    <x v="1"/>
    <x v="100"/>
  </r>
  <r>
    <x v="3"/>
    <x v="20"/>
    <x v="0"/>
    <x v="0"/>
    <x v="1"/>
    <x v="101"/>
  </r>
  <r>
    <x v="3"/>
    <x v="21"/>
    <x v="0"/>
    <x v="0"/>
    <x v="1"/>
    <x v="87"/>
  </r>
  <r>
    <x v="3"/>
    <x v="22"/>
    <x v="0"/>
    <x v="0"/>
    <x v="1"/>
    <x v="102"/>
  </r>
  <r>
    <x v="3"/>
    <x v="23"/>
    <x v="0"/>
    <x v="0"/>
    <x v="1"/>
    <x v="103"/>
  </r>
  <r>
    <x v="3"/>
    <x v="24"/>
    <x v="0"/>
    <x v="0"/>
    <x v="1"/>
    <x v="104"/>
  </r>
  <r>
    <x v="3"/>
    <x v="25"/>
    <x v="0"/>
    <x v="0"/>
    <x v="1"/>
    <x v="105"/>
  </r>
  <r>
    <x v="3"/>
    <x v="26"/>
    <x v="0"/>
    <x v="0"/>
    <x v="1"/>
    <x v="106"/>
  </r>
  <r>
    <x v="3"/>
    <x v="27"/>
    <x v="0"/>
    <x v="0"/>
    <x v="1"/>
    <x v="107"/>
  </r>
  <r>
    <x v="3"/>
    <x v="28"/>
    <x v="0"/>
    <x v="0"/>
    <x v="1"/>
    <x v="108"/>
  </r>
  <r>
    <x v="3"/>
    <x v="29"/>
    <x v="0"/>
    <x v="0"/>
    <x v="1"/>
    <x v="109"/>
  </r>
  <r>
    <x v="3"/>
    <x v="30"/>
    <x v="0"/>
    <x v="0"/>
    <x v="1"/>
    <x v="110"/>
  </r>
  <r>
    <x v="3"/>
    <x v="31"/>
    <x v="0"/>
    <x v="0"/>
    <x v="1"/>
    <x v="111"/>
  </r>
  <r>
    <x v="3"/>
    <x v="32"/>
    <x v="0"/>
    <x v="0"/>
    <x v="1"/>
    <x v="112"/>
  </r>
  <r>
    <x v="3"/>
    <x v="33"/>
    <x v="0"/>
    <x v="0"/>
    <x v="1"/>
    <x v="113"/>
  </r>
  <r>
    <x v="3"/>
    <x v="34"/>
    <x v="0"/>
    <x v="0"/>
    <x v="1"/>
    <x v="114"/>
  </r>
  <r>
    <x v="3"/>
    <x v="35"/>
    <x v="0"/>
    <x v="0"/>
    <x v="1"/>
    <x v="115"/>
  </r>
  <r>
    <x v="3"/>
    <x v="36"/>
    <x v="0"/>
    <x v="0"/>
    <x v="1"/>
    <x v="116"/>
  </r>
  <r>
    <x v="3"/>
    <x v="37"/>
    <x v="0"/>
    <x v="0"/>
    <x v="1"/>
    <x v="117"/>
  </r>
  <r>
    <x v="3"/>
    <x v="38"/>
    <x v="0"/>
    <x v="0"/>
    <x v="1"/>
    <x v="118"/>
  </r>
  <r>
    <x v="3"/>
    <x v="39"/>
    <x v="0"/>
    <x v="0"/>
    <x v="1"/>
    <x v="70"/>
  </r>
  <r>
    <x v="3"/>
    <x v="40"/>
    <x v="0"/>
    <x v="0"/>
    <x v="1"/>
    <x v="119"/>
  </r>
  <r>
    <x v="3"/>
    <x v="41"/>
    <x v="0"/>
    <x v="0"/>
    <x v="1"/>
    <x v="120"/>
  </r>
  <r>
    <x v="4"/>
    <x v="42"/>
    <x v="0"/>
    <x v="0"/>
    <x v="1"/>
    <x v="121"/>
  </r>
  <r>
    <x v="4"/>
    <x v="43"/>
    <x v="0"/>
    <x v="0"/>
    <x v="1"/>
    <x v="122"/>
  </r>
  <r>
    <x v="4"/>
    <x v="44"/>
    <x v="0"/>
    <x v="0"/>
    <x v="1"/>
    <x v="123"/>
  </r>
  <r>
    <x v="4"/>
    <x v="45"/>
    <x v="0"/>
    <x v="0"/>
    <x v="1"/>
    <x v="124"/>
  </r>
  <r>
    <x v="4"/>
    <x v="46"/>
    <x v="0"/>
    <x v="0"/>
    <x v="1"/>
    <x v="56"/>
  </r>
  <r>
    <x v="4"/>
    <x v="47"/>
    <x v="0"/>
    <x v="0"/>
    <x v="1"/>
    <x v="125"/>
  </r>
  <r>
    <x v="4"/>
    <x v="48"/>
    <x v="0"/>
    <x v="0"/>
    <x v="1"/>
    <x v="126"/>
  </r>
  <r>
    <x v="4"/>
    <x v="49"/>
    <x v="0"/>
    <x v="0"/>
    <x v="1"/>
    <x v="127"/>
  </r>
  <r>
    <x v="5"/>
    <x v="50"/>
    <x v="0"/>
    <x v="0"/>
    <x v="1"/>
    <x v="128"/>
  </r>
  <r>
    <x v="5"/>
    <x v="51"/>
    <x v="0"/>
    <x v="0"/>
    <x v="1"/>
    <x v="129"/>
  </r>
  <r>
    <x v="5"/>
    <x v="52"/>
    <x v="0"/>
    <x v="0"/>
    <x v="1"/>
    <x v="130"/>
  </r>
  <r>
    <x v="5"/>
    <x v="53"/>
    <x v="0"/>
    <x v="0"/>
    <x v="1"/>
    <x v="131"/>
  </r>
  <r>
    <x v="5"/>
    <x v="54"/>
    <x v="0"/>
    <x v="0"/>
    <x v="1"/>
    <x v="132"/>
  </r>
  <r>
    <x v="5"/>
    <x v="55"/>
    <x v="0"/>
    <x v="0"/>
    <x v="1"/>
    <x v="133"/>
  </r>
  <r>
    <x v="5"/>
    <x v="56"/>
    <x v="0"/>
    <x v="0"/>
    <x v="1"/>
    <x v="91"/>
  </r>
  <r>
    <x v="5"/>
    <x v="57"/>
    <x v="0"/>
    <x v="0"/>
    <x v="1"/>
    <x v="134"/>
  </r>
  <r>
    <x v="5"/>
    <x v="58"/>
    <x v="0"/>
    <x v="0"/>
    <x v="1"/>
    <x v="135"/>
  </r>
  <r>
    <x v="5"/>
    <x v="59"/>
    <x v="0"/>
    <x v="0"/>
    <x v="1"/>
    <x v="136"/>
  </r>
  <r>
    <x v="5"/>
    <x v="60"/>
    <x v="0"/>
    <x v="0"/>
    <x v="1"/>
    <x v="119"/>
  </r>
  <r>
    <x v="5"/>
    <x v="61"/>
    <x v="0"/>
    <x v="0"/>
    <x v="1"/>
    <x v="137"/>
  </r>
  <r>
    <x v="5"/>
    <x v="62"/>
    <x v="0"/>
    <x v="0"/>
    <x v="1"/>
    <x v="138"/>
  </r>
  <r>
    <x v="5"/>
    <x v="63"/>
    <x v="0"/>
    <x v="0"/>
    <x v="1"/>
    <x v="139"/>
  </r>
  <r>
    <x v="6"/>
    <x v="64"/>
    <x v="0"/>
    <x v="0"/>
    <x v="1"/>
    <x v="15"/>
  </r>
  <r>
    <x v="6"/>
    <x v="65"/>
    <x v="0"/>
    <x v="0"/>
    <x v="1"/>
    <x v="140"/>
  </r>
  <r>
    <x v="6"/>
    <x v="66"/>
    <x v="0"/>
    <x v="0"/>
    <x v="1"/>
    <x v="141"/>
  </r>
  <r>
    <x v="6"/>
    <x v="67"/>
    <x v="0"/>
    <x v="0"/>
    <x v="1"/>
    <x v="101"/>
  </r>
  <r>
    <x v="6"/>
    <x v="68"/>
    <x v="0"/>
    <x v="0"/>
    <x v="1"/>
    <x v="142"/>
  </r>
  <r>
    <x v="6"/>
    <x v="69"/>
    <x v="0"/>
    <x v="0"/>
    <x v="1"/>
    <x v="38"/>
  </r>
  <r>
    <x v="6"/>
    <x v="70"/>
    <x v="0"/>
    <x v="0"/>
    <x v="1"/>
    <x v="143"/>
  </r>
  <r>
    <x v="6"/>
    <x v="71"/>
    <x v="0"/>
    <x v="0"/>
    <x v="1"/>
    <x v="144"/>
  </r>
  <r>
    <x v="7"/>
    <x v="72"/>
    <x v="0"/>
    <x v="0"/>
    <x v="1"/>
    <x v="57"/>
  </r>
  <r>
    <x v="7"/>
    <x v="73"/>
    <x v="0"/>
    <x v="0"/>
    <x v="1"/>
    <x v="145"/>
  </r>
  <r>
    <x v="7"/>
    <x v="74"/>
    <x v="0"/>
    <x v="0"/>
    <x v="1"/>
    <x v="146"/>
  </r>
  <r>
    <x v="7"/>
    <x v="75"/>
    <x v="0"/>
    <x v="0"/>
    <x v="1"/>
    <x v="147"/>
  </r>
  <r>
    <x v="7"/>
    <x v="76"/>
    <x v="0"/>
    <x v="0"/>
    <x v="1"/>
    <x v="148"/>
  </r>
  <r>
    <x v="7"/>
    <x v="77"/>
    <x v="0"/>
    <x v="0"/>
    <x v="1"/>
    <x v="149"/>
  </r>
  <r>
    <x v="7"/>
    <x v="78"/>
    <x v="0"/>
    <x v="0"/>
    <x v="1"/>
    <x v="150"/>
  </r>
  <r>
    <x v="7"/>
    <x v="79"/>
    <x v="0"/>
    <x v="0"/>
    <x v="1"/>
    <x v="87"/>
  </r>
  <r>
    <x v="7"/>
    <x v="80"/>
    <x v="0"/>
    <x v="0"/>
    <x v="1"/>
    <x v="117"/>
  </r>
  <r>
    <x v="7"/>
    <x v="81"/>
    <x v="0"/>
    <x v="0"/>
    <x v="1"/>
    <x v="151"/>
  </r>
  <r>
    <x v="7"/>
    <x v="82"/>
    <x v="0"/>
    <x v="0"/>
    <x v="1"/>
    <x v="60"/>
  </r>
  <r>
    <x v="8"/>
    <x v="83"/>
    <x v="0"/>
    <x v="0"/>
    <x v="1"/>
    <x v="152"/>
  </r>
  <r>
    <x v="8"/>
    <x v="84"/>
    <x v="0"/>
    <x v="0"/>
    <x v="1"/>
    <x v="153"/>
  </r>
  <r>
    <x v="8"/>
    <x v="85"/>
    <x v="0"/>
    <x v="0"/>
    <x v="1"/>
    <x v="154"/>
  </r>
  <r>
    <x v="8"/>
    <x v="86"/>
    <x v="0"/>
    <x v="0"/>
    <x v="1"/>
    <x v="155"/>
  </r>
  <r>
    <x v="8"/>
    <x v="87"/>
    <x v="0"/>
    <x v="0"/>
    <x v="1"/>
    <x v="156"/>
  </r>
  <r>
    <x v="8"/>
    <x v="88"/>
    <x v="0"/>
    <x v="0"/>
    <x v="1"/>
    <x v="157"/>
  </r>
  <r>
    <x v="9"/>
    <x v="89"/>
    <x v="0"/>
    <x v="0"/>
    <x v="1"/>
    <x v="158"/>
  </r>
  <r>
    <x v="9"/>
    <x v="90"/>
    <x v="0"/>
    <x v="0"/>
    <x v="1"/>
    <x v="159"/>
  </r>
  <r>
    <x v="9"/>
    <x v="91"/>
    <x v="0"/>
    <x v="0"/>
    <x v="1"/>
    <x v="160"/>
  </r>
  <r>
    <x v="0"/>
    <x v="0"/>
    <x v="0"/>
    <x v="1"/>
    <x v="0"/>
    <x v="161"/>
  </r>
  <r>
    <x v="0"/>
    <x v="1"/>
    <x v="0"/>
    <x v="1"/>
    <x v="0"/>
    <x v="162"/>
  </r>
  <r>
    <x v="0"/>
    <x v="2"/>
    <x v="0"/>
    <x v="1"/>
    <x v="0"/>
    <x v="163"/>
  </r>
  <r>
    <x v="0"/>
    <x v="3"/>
    <x v="0"/>
    <x v="1"/>
    <x v="0"/>
    <x v="164"/>
  </r>
  <r>
    <x v="1"/>
    <x v="4"/>
    <x v="0"/>
    <x v="1"/>
    <x v="0"/>
    <x v="165"/>
  </r>
  <r>
    <x v="1"/>
    <x v="5"/>
    <x v="0"/>
    <x v="1"/>
    <x v="0"/>
    <x v="136"/>
  </r>
  <r>
    <x v="1"/>
    <x v="6"/>
    <x v="0"/>
    <x v="1"/>
    <x v="0"/>
    <x v="74"/>
  </r>
  <r>
    <x v="2"/>
    <x v="7"/>
    <x v="0"/>
    <x v="1"/>
    <x v="0"/>
    <x v="166"/>
  </r>
  <r>
    <x v="2"/>
    <x v="8"/>
    <x v="0"/>
    <x v="1"/>
    <x v="0"/>
    <x v="131"/>
  </r>
  <r>
    <x v="3"/>
    <x v="9"/>
    <x v="0"/>
    <x v="1"/>
    <x v="0"/>
    <x v="167"/>
  </r>
  <r>
    <x v="3"/>
    <x v="10"/>
    <x v="0"/>
    <x v="1"/>
    <x v="0"/>
    <x v="168"/>
  </r>
  <r>
    <x v="3"/>
    <x v="11"/>
    <x v="0"/>
    <x v="1"/>
    <x v="0"/>
    <x v="167"/>
  </r>
  <r>
    <x v="3"/>
    <x v="12"/>
    <x v="0"/>
    <x v="1"/>
    <x v="0"/>
    <x v="87"/>
  </r>
  <r>
    <x v="3"/>
    <x v="13"/>
    <x v="0"/>
    <x v="1"/>
    <x v="0"/>
    <x v="169"/>
  </r>
  <r>
    <x v="3"/>
    <x v="14"/>
    <x v="0"/>
    <x v="1"/>
    <x v="0"/>
    <x v="170"/>
  </r>
  <r>
    <x v="3"/>
    <x v="15"/>
    <x v="0"/>
    <x v="1"/>
    <x v="0"/>
    <x v="87"/>
  </r>
  <r>
    <x v="3"/>
    <x v="16"/>
    <x v="0"/>
    <x v="1"/>
    <x v="0"/>
    <x v="171"/>
  </r>
  <r>
    <x v="3"/>
    <x v="17"/>
    <x v="0"/>
    <x v="1"/>
    <x v="0"/>
    <x v="172"/>
  </r>
  <r>
    <x v="3"/>
    <x v="18"/>
    <x v="0"/>
    <x v="1"/>
    <x v="0"/>
    <x v="173"/>
  </r>
  <r>
    <x v="3"/>
    <x v="19"/>
    <x v="0"/>
    <x v="1"/>
    <x v="0"/>
    <x v="174"/>
  </r>
  <r>
    <x v="3"/>
    <x v="20"/>
    <x v="0"/>
    <x v="1"/>
    <x v="0"/>
    <x v="82"/>
  </r>
  <r>
    <x v="3"/>
    <x v="21"/>
    <x v="0"/>
    <x v="1"/>
    <x v="0"/>
    <x v="175"/>
  </r>
  <r>
    <x v="3"/>
    <x v="22"/>
    <x v="0"/>
    <x v="1"/>
    <x v="0"/>
    <x v="65"/>
  </r>
  <r>
    <x v="3"/>
    <x v="23"/>
    <x v="0"/>
    <x v="1"/>
    <x v="0"/>
    <x v="125"/>
  </r>
  <r>
    <x v="3"/>
    <x v="24"/>
    <x v="0"/>
    <x v="1"/>
    <x v="0"/>
    <x v="176"/>
  </r>
  <r>
    <x v="3"/>
    <x v="25"/>
    <x v="0"/>
    <x v="1"/>
    <x v="0"/>
    <x v="177"/>
  </r>
  <r>
    <x v="3"/>
    <x v="26"/>
    <x v="0"/>
    <x v="1"/>
    <x v="0"/>
    <x v="178"/>
  </r>
  <r>
    <x v="3"/>
    <x v="27"/>
    <x v="0"/>
    <x v="1"/>
    <x v="0"/>
    <x v="179"/>
  </r>
  <r>
    <x v="3"/>
    <x v="28"/>
    <x v="0"/>
    <x v="1"/>
    <x v="0"/>
    <x v="180"/>
  </r>
  <r>
    <x v="3"/>
    <x v="29"/>
    <x v="0"/>
    <x v="1"/>
    <x v="0"/>
    <x v="181"/>
  </r>
  <r>
    <x v="3"/>
    <x v="30"/>
    <x v="0"/>
    <x v="1"/>
    <x v="0"/>
    <x v="182"/>
  </r>
  <r>
    <x v="3"/>
    <x v="31"/>
    <x v="0"/>
    <x v="1"/>
    <x v="0"/>
    <x v="183"/>
  </r>
  <r>
    <x v="3"/>
    <x v="32"/>
    <x v="0"/>
    <x v="1"/>
    <x v="0"/>
    <x v="184"/>
  </r>
  <r>
    <x v="3"/>
    <x v="33"/>
    <x v="0"/>
    <x v="1"/>
    <x v="0"/>
    <x v="185"/>
  </r>
  <r>
    <x v="3"/>
    <x v="34"/>
    <x v="0"/>
    <x v="1"/>
    <x v="0"/>
    <x v="186"/>
  </r>
  <r>
    <x v="3"/>
    <x v="35"/>
    <x v="0"/>
    <x v="1"/>
    <x v="0"/>
    <x v="187"/>
  </r>
  <r>
    <x v="3"/>
    <x v="36"/>
    <x v="0"/>
    <x v="1"/>
    <x v="0"/>
    <x v="87"/>
  </r>
  <r>
    <x v="3"/>
    <x v="37"/>
    <x v="0"/>
    <x v="1"/>
    <x v="0"/>
    <x v="188"/>
  </r>
  <r>
    <x v="3"/>
    <x v="38"/>
    <x v="0"/>
    <x v="1"/>
    <x v="0"/>
    <x v="189"/>
  </r>
  <r>
    <x v="3"/>
    <x v="39"/>
    <x v="0"/>
    <x v="1"/>
    <x v="0"/>
    <x v="21"/>
  </r>
  <r>
    <x v="3"/>
    <x v="40"/>
    <x v="0"/>
    <x v="1"/>
    <x v="0"/>
    <x v="116"/>
  </r>
  <r>
    <x v="3"/>
    <x v="41"/>
    <x v="0"/>
    <x v="1"/>
    <x v="0"/>
    <x v="67"/>
  </r>
  <r>
    <x v="4"/>
    <x v="42"/>
    <x v="0"/>
    <x v="1"/>
    <x v="0"/>
    <x v="190"/>
  </r>
  <r>
    <x v="4"/>
    <x v="43"/>
    <x v="0"/>
    <x v="1"/>
    <x v="0"/>
    <x v="57"/>
  </r>
  <r>
    <x v="4"/>
    <x v="44"/>
    <x v="0"/>
    <x v="1"/>
    <x v="0"/>
    <x v="191"/>
  </r>
  <r>
    <x v="4"/>
    <x v="45"/>
    <x v="0"/>
    <x v="1"/>
    <x v="0"/>
    <x v="192"/>
  </r>
  <r>
    <x v="4"/>
    <x v="46"/>
    <x v="0"/>
    <x v="1"/>
    <x v="0"/>
    <x v="193"/>
  </r>
  <r>
    <x v="4"/>
    <x v="47"/>
    <x v="0"/>
    <x v="1"/>
    <x v="0"/>
    <x v="168"/>
  </r>
  <r>
    <x v="4"/>
    <x v="48"/>
    <x v="0"/>
    <x v="1"/>
    <x v="0"/>
    <x v="194"/>
  </r>
  <r>
    <x v="4"/>
    <x v="49"/>
    <x v="0"/>
    <x v="1"/>
    <x v="0"/>
    <x v="148"/>
  </r>
  <r>
    <x v="5"/>
    <x v="50"/>
    <x v="0"/>
    <x v="1"/>
    <x v="0"/>
    <x v="149"/>
  </r>
  <r>
    <x v="5"/>
    <x v="51"/>
    <x v="0"/>
    <x v="1"/>
    <x v="0"/>
    <x v="53"/>
  </r>
  <r>
    <x v="5"/>
    <x v="52"/>
    <x v="0"/>
    <x v="1"/>
    <x v="0"/>
    <x v="38"/>
  </r>
  <r>
    <x v="5"/>
    <x v="53"/>
    <x v="0"/>
    <x v="1"/>
    <x v="0"/>
    <x v="74"/>
  </r>
  <r>
    <x v="5"/>
    <x v="54"/>
    <x v="0"/>
    <x v="1"/>
    <x v="0"/>
    <x v="95"/>
  </r>
  <r>
    <x v="5"/>
    <x v="55"/>
    <x v="0"/>
    <x v="1"/>
    <x v="0"/>
    <x v="93"/>
  </r>
  <r>
    <x v="5"/>
    <x v="56"/>
    <x v="0"/>
    <x v="1"/>
    <x v="0"/>
    <x v="132"/>
  </r>
  <r>
    <x v="5"/>
    <x v="57"/>
    <x v="0"/>
    <x v="1"/>
    <x v="0"/>
    <x v="195"/>
  </r>
  <r>
    <x v="5"/>
    <x v="58"/>
    <x v="0"/>
    <x v="1"/>
    <x v="0"/>
    <x v="5"/>
  </r>
  <r>
    <x v="5"/>
    <x v="59"/>
    <x v="0"/>
    <x v="1"/>
    <x v="0"/>
    <x v="87"/>
  </r>
  <r>
    <x v="5"/>
    <x v="60"/>
    <x v="0"/>
    <x v="1"/>
    <x v="0"/>
    <x v="196"/>
  </r>
  <r>
    <x v="5"/>
    <x v="61"/>
    <x v="0"/>
    <x v="1"/>
    <x v="0"/>
    <x v="197"/>
  </r>
  <r>
    <x v="5"/>
    <x v="62"/>
    <x v="0"/>
    <x v="1"/>
    <x v="0"/>
    <x v="70"/>
  </r>
  <r>
    <x v="5"/>
    <x v="63"/>
    <x v="0"/>
    <x v="1"/>
    <x v="0"/>
    <x v="198"/>
  </r>
  <r>
    <x v="6"/>
    <x v="64"/>
    <x v="0"/>
    <x v="1"/>
    <x v="0"/>
    <x v="199"/>
  </r>
  <r>
    <x v="6"/>
    <x v="65"/>
    <x v="0"/>
    <x v="1"/>
    <x v="0"/>
    <x v="200"/>
  </r>
  <r>
    <x v="6"/>
    <x v="66"/>
    <x v="0"/>
    <x v="1"/>
    <x v="0"/>
    <x v="201"/>
  </r>
  <r>
    <x v="6"/>
    <x v="67"/>
    <x v="0"/>
    <x v="1"/>
    <x v="0"/>
    <x v="170"/>
  </r>
  <r>
    <x v="6"/>
    <x v="68"/>
    <x v="0"/>
    <x v="1"/>
    <x v="0"/>
    <x v="202"/>
  </r>
  <r>
    <x v="6"/>
    <x v="69"/>
    <x v="0"/>
    <x v="1"/>
    <x v="0"/>
    <x v="168"/>
  </r>
  <r>
    <x v="6"/>
    <x v="70"/>
    <x v="0"/>
    <x v="1"/>
    <x v="0"/>
    <x v="201"/>
  </r>
  <r>
    <x v="6"/>
    <x v="71"/>
    <x v="0"/>
    <x v="1"/>
    <x v="0"/>
    <x v="203"/>
  </r>
  <r>
    <x v="7"/>
    <x v="72"/>
    <x v="0"/>
    <x v="1"/>
    <x v="0"/>
    <x v="87"/>
  </r>
  <r>
    <x v="7"/>
    <x v="73"/>
    <x v="0"/>
    <x v="1"/>
    <x v="0"/>
    <x v="116"/>
  </r>
  <r>
    <x v="7"/>
    <x v="74"/>
    <x v="0"/>
    <x v="1"/>
    <x v="0"/>
    <x v="116"/>
  </r>
  <r>
    <x v="7"/>
    <x v="75"/>
    <x v="0"/>
    <x v="1"/>
    <x v="0"/>
    <x v="132"/>
  </r>
  <r>
    <x v="7"/>
    <x v="76"/>
    <x v="0"/>
    <x v="1"/>
    <x v="0"/>
    <x v="95"/>
  </r>
  <r>
    <x v="7"/>
    <x v="77"/>
    <x v="0"/>
    <x v="1"/>
    <x v="0"/>
    <x v="117"/>
  </r>
  <r>
    <x v="7"/>
    <x v="78"/>
    <x v="0"/>
    <x v="1"/>
    <x v="0"/>
    <x v="170"/>
  </r>
  <r>
    <x v="7"/>
    <x v="79"/>
    <x v="0"/>
    <x v="1"/>
    <x v="0"/>
    <x v="87"/>
  </r>
  <r>
    <x v="7"/>
    <x v="80"/>
    <x v="0"/>
    <x v="1"/>
    <x v="0"/>
    <x v="87"/>
  </r>
  <r>
    <x v="7"/>
    <x v="81"/>
    <x v="0"/>
    <x v="1"/>
    <x v="0"/>
    <x v="204"/>
  </r>
  <r>
    <x v="7"/>
    <x v="82"/>
    <x v="0"/>
    <x v="1"/>
    <x v="0"/>
    <x v="92"/>
  </r>
  <r>
    <x v="8"/>
    <x v="83"/>
    <x v="0"/>
    <x v="1"/>
    <x v="0"/>
    <x v="205"/>
  </r>
  <r>
    <x v="8"/>
    <x v="84"/>
    <x v="0"/>
    <x v="1"/>
    <x v="0"/>
    <x v="57"/>
  </r>
  <r>
    <x v="8"/>
    <x v="85"/>
    <x v="0"/>
    <x v="1"/>
    <x v="0"/>
    <x v="206"/>
  </r>
  <r>
    <x v="8"/>
    <x v="86"/>
    <x v="0"/>
    <x v="1"/>
    <x v="0"/>
    <x v="201"/>
  </r>
  <r>
    <x v="8"/>
    <x v="87"/>
    <x v="0"/>
    <x v="1"/>
    <x v="0"/>
    <x v="207"/>
  </r>
  <r>
    <x v="8"/>
    <x v="88"/>
    <x v="0"/>
    <x v="1"/>
    <x v="0"/>
    <x v="208"/>
  </r>
  <r>
    <x v="9"/>
    <x v="89"/>
    <x v="0"/>
    <x v="1"/>
    <x v="0"/>
    <x v="209"/>
  </r>
  <r>
    <x v="9"/>
    <x v="90"/>
    <x v="0"/>
    <x v="1"/>
    <x v="0"/>
    <x v="175"/>
  </r>
  <r>
    <x v="9"/>
    <x v="91"/>
    <x v="0"/>
    <x v="1"/>
    <x v="0"/>
    <x v="66"/>
  </r>
  <r>
    <x v="0"/>
    <x v="0"/>
    <x v="0"/>
    <x v="1"/>
    <x v="1"/>
    <x v="192"/>
  </r>
  <r>
    <x v="0"/>
    <x v="1"/>
    <x v="0"/>
    <x v="1"/>
    <x v="1"/>
    <x v="210"/>
  </r>
  <r>
    <x v="0"/>
    <x v="2"/>
    <x v="0"/>
    <x v="1"/>
    <x v="1"/>
    <x v="211"/>
  </r>
  <r>
    <x v="0"/>
    <x v="3"/>
    <x v="0"/>
    <x v="1"/>
    <x v="1"/>
    <x v="212"/>
  </r>
  <r>
    <x v="1"/>
    <x v="4"/>
    <x v="0"/>
    <x v="1"/>
    <x v="1"/>
    <x v="213"/>
  </r>
  <r>
    <x v="1"/>
    <x v="5"/>
    <x v="0"/>
    <x v="1"/>
    <x v="1"/>
    <x v="87"/>
  </r>
  <r>
    <x v="1"/>
    <x v="6"/>
    <x v="0"/>
    <x v="1"/>
    <x v="1"/>
    <x v="175"/>
  </r>
  <r>
    <x v="2"/>
    <x v="7"/>
    <x v="0"/>
    <x v="1"/>
    <x v="1"/>
    <x v="214"/>
  </r>
  <r>
    <x v="2"/>
    <x v="8"/>
    <x v="0"/>
    <x v="1"/>
    <x v="1"/>
    <x v="93"/>
  </r>
  <r>
    <x v="3"/>
    <x v="9"/>
    <x v="0"/>
    <x v="1"/>
    <x v="1"/>
    <x v="87"/>
  </r>
  <r>
    <x v="3"/>
    <x v="10"/>
    <x v="0"/>
    <x v="1"/>
    <x v="1"/>
    <x v="87"/>
  </r>
  <r>
    <x v="3"/>
    <x v="11"/>
    <x v="0"/>
    <x v="1"/>
    <x v="1"/>
    <x v="116"/>
  </r>
  <r>
    <x v="3"/>
    <x v="12"/>
    <x v="0"/>
    <x v="1"/>
    <x v="1"/>
    <x v="175"/>
  </r>
  <r>
    <x v="3"/>
    <x v="13"/>
    <x v="0"/>
    <x v="1"/>
    <x v="1"/>
    <x v="215"/>
  </r>
  <r>
    <x v="3"/>
    <x v="14"/>
    <x v="0"/>
    <x v="1"/>
    <x v="1"/>
    <x v="175"/>
  </r>
  <r>
    <x v="3"/>
    <x v="15"/>
    <x v="0"/>
    <x v="1"/>
    <x v="1"/>
    <x v="87"/>
  </r>
  <r>
    <x v="3"/>
    <x v="16"/>
    <x v="0"/>
    <x v="1"/>
    <x v="1"/>
    <x v="100"/>
  </r>
  <r>
    <x v="3"/>
    <x v="17"/>
    <x v="0"/>
    <x v="1"/>
    <x v="1"/>
    <x v="216"/>
  </r>
  <r>
    <x v="3"/>
    <x v="18"/>
    <x v="0"/>
    <x v="1"/>
    <x v="1"/>
    <x v="217"/>
  </r>
  <r>
    <x v="3"/>
    <x v="19"/>
    <x v="0"/>
    <x v="1"/>
    <x v="1"/>
    <x v="42"/>
  </r>
  <r>
    <x v="3"/>
    <x v="20"/>
    <x v="0"/>
    <x v="1"/>
    <x v="1"/>
    <x v="218"/>
  </r>
  <r>
    <x v="3"/>
    <x v="21"/>
    <x v="0"/>
    <x v="1"/>
    <x v="1"/>
    <x v="175"/>
  </r>
  <r>
    <x v="3"/>
    <x v="22"/>
    <x v="0"/>
    <x v="1"/>
    <x v="1"/>
    <x v="219"/>
  </r>
  <r>
    <x v="3"/>
    <x v="23"/>
    <x v="0"/>
    <x v="1"/>
    <x v="1"/>
    <x v="136"/>
  </r>
  <r>
    <x v="3"/>
    <x v="24"/>
    <x v="0"/>
    <x v="1"/>
    <x v="1"/>
    <x v="220"/>
  </r>
  <r>
    <x v="3"/>
    <x v="25"/>
    <x v="0"/>
    <x v="1"/>
    <x v="1"/>
    <x v="221"/>
  </r>
  <r>
    <x v="3"/>
    <x v="26"/>
    <x v="0"/>
    <x v="1"/>
    <x v="1"/>
    <x v="222"/>
  </r>
  <r>
    <x v="3"/>
    <x v="27"/>
    <x v="0"/>
    <x v="1"/>
    <x v="1"/>
    <x v="223"/>
  </r>
  <r>
    <x v="3"/>
    <x v="28"/>
    <x v="0"/>
    <x v="1"/>
    <x v="1"/>
    <x v="224"/>
  </r>
  <r>
    <x v="3"/>
    <x v="29"/>
    <x v="0"/>
    <x v="1"/>
    <x v="1"/>
    <x v="225"/>
  </r>
  <r>
    <x v="3"/>
    <x v="30"/>
    <x v="0"/>
    <x v="1"/>
    <x v="1"/>
    <x v="128"/>
  </r>
  <r>
    <x v="3"/>
    <x v="31"/>
    <x v="0"/>
    <x v="1"/>
    <x v="1"/>
    <x v="101"/>
  </r>
  <r>
    <x v="3"/>
    <x v="32"/>
    <x v="0"/>
    <x v="1"/>
    <x v="1"/>
    <x v="226"/>
  </r>
  <r>
    <x v="3"/>
    <x v="33"/>
    <x v="0"/>
    <x v="1"/>
    <x v="1"/>
    <x v="227"/>
  </r>
  <r>
    <x v="3"/>
    <x v="34"/>
    <x v="0"/>
    <x v="1"/>
    <x v="1"/>
    <x v="193"/>
  </r>
  <r>
    <x v="3"/>
    <x v="35"/>
    <x v="0"/>
    <x v="1"/>
    <x v="1"/>
    <x v="228"/>
  </r>
  <r>
    <x v="3"/>
    <x v="36"/>
    <x v="0"/>
    <x v="1"/>
    <x v="1"/>
    <x v="87"/>
  </r>
  <r>
    <x v="3"/>
    <x v="37"/>
    <x v="0"/>
    <x v="1"/>
    <x v="1"/>
    <x v="87"/>
  </r>
  <r>
    <x v="3"/>
    <x v="38"/>
    <x v="0"/>
    <x v="1"/>
    <x v="1"/>
    <x v="229"/>
  </r>
  <r>
    <x v="3"/>
    <x v="39"/>
    <x v="0"/>
    <x v="1"/>
    <x v="1"/>
    <x v="87"/>
  </r>
  <r>
    <x v="3"/>
    <x v="40"/>
    <x v="0"/>
    <x v="1"/>
    <x v="1"/>
    <x v="136"/>
  </r>
  <r>
    <x v="3"/>
    <x v="41"/>
    <x v="0"/>
    <x v="1"/>
    <x v="1"/>
    <x v="170"/>
  </r>
  <r>
    <x v="4"/>
    <x v="42"/>
    <x v="0"/>
    <x v="1"/>
    <x v="1"/>
    <x v="230"/>
  </r>
  <r>
    <x v="4"/>
    <x v="43"/>
    <x v="0"/>
    <x v="1"/>
    <x v="1"/>
    <x v="136"/>
  </r>
  <r>
    <x v="4"/>
    <x v="44"/>
    <x v="0"/>
    <x v="1"/>
    <x v="1"/>
    <x v="116"/>
  </r>
  <r>
    <x v="4"/>
    <x v="45"/>
    <x v="0"/>
    <x v="1"/>
    <x v="1"/>
    <x v="87"/>
  </r>
  <r>
    <x v="4"/>
    <x v="46"/>
    <x v="0"/>
    <x v="1"/>
    <x v="1"/>
    <x v="231"/>
  </r>
  <r>
    <x v="4"/>
    <x v="47"/>
    <x v="0"/>
    <x v="1"/>
    <x v="1"/>
    <x v="87"/>
  </r>
  <r>
    <x v="4"/>
    <x v="48"/>
    <x v="0"/>
    <x v="1"/>
    <x v="1"/>
    <x v="232"/>
  </r>
  <r>
    <x v="4"/>
    <x v="49"/>
    <x v="0"/>
    <x v="1"/>
    <x v="1"/>
    <x v="87"/>
  </r>
  <r>
    <x v="5"/>
    <x v="50"/>
    <x v="0"/>
    <x v="1"/>
    <x v="1"/>
    <x v="168"/>
  </r>
  <r>
    <x v="5"/>
    <x v="51"/>
    <x v="0"/>
    <x v="1"/>
    <x v="1"/>
    <x v="136"/>
  </r>
  <r>
    <x v="5"/>
    <x v="52"/>
    <x v="0"/>
    <x v="1"/>
    <x v="1"/>
    <x v="136"/>
  </r>
  <r>
    <x v="5"/>
    <x v="53"/>
    <x v="0"/>
    <x v="1"/>
    <x v="1"/>
    <x v="87"/>
  </r>
  <r>
    <x v="5"/>
    <x v="54"/>
    <x v="0"/>
    <x v="1"/>
    <x v="1"/>
    <x v="87"/>
  </r>
  <r>
    <x v="5"/>
    <x v="55"/>
    <x v="0"/>
    <x v="1"/>
    <x v="1"/>
    <x v="87"/>
  </r>
  <r>
    <x v="5"/>
    <x v="56"/>
    <x v="0"/>
    <x v="1"/>
    <x v="1"/>
    <x v="87"/>
  </r>
  <r>
    <x v="5"/>
    <x v="57"/>
    <x v="0"/>
    <x v="1"/>
    <x v="1"/>
    <x v="233"/>
  </r>
  <r>
    <x v="5"/>
    <x v="58"/>
    <x v="0"/>
    <x v="1"/>
    <x v="1"/>
    <x v="95"/>
  </r>
  <r>
    <x v="5"/>
    <x v="59"/>
    <x v="0"/>
    <x v="1"/>
    <x v="1"/>
    <x v="175"/>
  </r>
  <r>
    <x v="5"/>
    <x v="60"/>
    <x v="0"/>
    <x v="1"/>
    <x v="1"/>
    <x v="145"/>
  </r>
  <r>
    <x v="5"/>
    <x v="61"/>
    <x v="0"/>
    <x v="1"/>
    <x v="1"/>
    <x v="116"/>
  </r>
  <r>
    <x v="5"/>
    <x v="62"/>
    <x v="0"/>
    <x v="1"/>
    <x v="1"/>
    <x v="87"/>
  </r>
  <r>
    <x v="5"/>
    <x v="63"/>
    <x v="0"/>
    <x v="1"/>
    <x v="1"/>
    <x v="91"/>
  </r>
  <r>
    <x v="6"/>
    <x v="64"/>
    <x v="0"/>
    <x v="1"/>
    <x v="1"/>
    <x v="57"/>
  </r>
  <r>
    <x v="6"/>
    <x v="65"/>
    <x v="0"/>
    <x v="1"/>
    <x v="1"/>
    <x v="12"/>
  </r>
  <r>
    <x v="6"/>
    <x v="66"/>
    <x v="0"/>
    <x v="1"/>
    <x v="1"/>
    <x v="21"/>
  </r>
  <r>
    <x v="6"/>
    <x v="67"/>
    <x v="0"/>
    <x v="1"/>
    <x v="1"/>
    <x v="87"/>
  </r>
  <r>
    <x v="6"/>
    <x v="68"/>
    <x v="0"/>
    <x v="1"/>
    <x v="1"/>
    <x v="203"/>
  </r>
  <r>
    <x v="6"/>
    <x v="69"/>
    <x v="0"/>
    <x v="1"/>
    <x v="1"/>
    <x v="170"/>
  </r>
  <r>
    <x v="6"/>
    <x v="70"/>
    <x v="0"/>
    <x v="1"/>
    <x v="1"/>
    <x v="220"/>
  </r>
  <r>
    <x v="6"/>
    <x v="71"/>
    <x v="0"/>
    <x v="1"/>
    <x v="1"/>
    <x v="167"/>
  </r>
  <r>
    <x v="7"/>
    <x v="72"/>
    <x v="0"/>
    <x v="1"/>
    <x v="1"/>
    <x v="175"/>
  </r>
  <r>
    <x v="7"/>
    <x v="73"/>
    <x v="0"/>
    <x v="1"/>
    <x v="1"/>
    <x v="87"/>
  </r>
  <r>
    <x v="7"/>
    <x v="74"/>
    <x v="0"/>
    <x v="1"/>
    <x v="1"/>
    <x v="87"/>
  </r>
  <r>
    <x v="7"/>
    <x v="75"/>
    <x v="0"/>
    <x v="1"/>
    <x v="1"/>
    <x v="87"/>
  </r>
  <r>
    <x v="7"/>
    <x v="76"/>
    <x v="0"/>
    <x v="1"/>
    <x v="1"/>
    <x v="175"/>
  </r>
  <r>
    <x v="7"/>
    <x v="77"/>
    <x v="0"/>
    <x v="1"/>
    <x v="1"/>
    <x v="87"/>
  </r>
  <r>
    <x v="7"/>
    <x v="78"/>
    <x v="0"/>
    <x v="1"/>
    <x v="1"/>
    <x v="170"/>
  </r>
  <r>
    <x v="7"/>
    <x v="79"/>
    <x v="0"/>
    <x v="1"/>
    <x v="1"/>
    <x v="87"/>
  </r>
  <r>
    <x v="7"/>
    <x v="80"/>
    <x v="0"/>
    <x v="1"/>
    <x v="1"/>
    <x v="175"/>
  </r>
  <r>
    <x v="7"/>
    <x v="81"/>
    <x v="0"/>
    <x v="1"/>
    <x v="1"/>
    <x v="87"/>
  </r>
  <r>
    <x v="7"/>
    <x v="82"/>
    <x v="0"/>
    <x v="1"/>
    <x v="1"/>
    <x v="87"/>
  </r>
  <r>
    <x v="8"/>
    <x v="83"/>
    <x v="0"/>
    <x v="1"/>
    <x v="1"/>
    <x v="199"/>
  </r>
  <r>
    <x v="8"/>
    <x v="84"/>
    <x v="0"/>
    <x v="1"/>
    <x v="1"/>
    <x v="87"/>
  </r>
  <r>
    <x v="8"/>
    <x v="85"/>
    <x v="0"/>
    <x v="1"/>
    <x v="1"/>
    <x v="234"/>
  </r>
  <r>
    <x v="8"/>
    <x v="86"/>
    <x v="0"/>
    <x v="1"/>
    <x v="1"/>
    <x v="235"/>
  </r>
  <r>
    <x v="8"/>
    <x v="87"/>
    <x v="0"/>
    <x v="1"/>
    <x v="1"/>
    <x v="137"/>
  </r>
  <r>
    <x v="8"/>
    <x v="88"/>
    <x v="0"/>
    <x v="1"/>
    <x v="1"/>
    <x v="236"/>
  </r>
  <r>
    <x v="9"/>
    <x v="89"/>
    <x v="0"/>
    <x v="1"/>
    <x v="1"/>
    <x v="87"/>
  </r>
  <r>
    <x v="9"/>
    <x v="90"/>
    <x v="0"/>
    <x v="1"/>
    <x v="1"/>
    <x v="175"/>
  </r>
  <r>
    <x v="9"/>
    <x v="91"/>
    <x v="0"/>
    <x v="1"/>
    <x v="1"/>
    <x v="87"/>
  </r>
  <r>
    <x v="0"/>
    <x v="0"/>
    <x v="1"/>
    <x v="0"/>
    <x v="0"/>
    <x v="237"/>
  </r>
  <r>
    <x v="0"/>
    <x v="1"/>
    <x v="1"/>
    <x v="0"/>
    <x v="0"/>
    <x v="238"/>
  </r>
  <r>
    <x v="0"/>
    <x v="2"/>
    <x v="1"/>
    <x v="0"/>
    <x v="0"/>
    <x v="146"/>
  </r>
  <r>
    <x v="0"/>
    <x v="3"/>
    <x v="1"/>
    <x v="0"/>
    <x v="0"/>
    <x v="239"/>
  </r>
  <r>
    <x v="1"/>
    <x v="4"/>
    <x v="1"/>
    <x v="0"/>
    <x v="0"/>
    <x v="240"/>
  </r>
  <r>
    <x v="1"/>
    <x v="5"/>
    <x v="1"/>
    <x v="0"/>
    <x v="0"/>
    <x v="5"/>
  </r>
  <r>
    <x v="1"/>
    <x v="6"/>
    <x v="1"/>
    <x v="0"/>
    <x v="0"/>
    <x v="11"/>
  </r>
  <r>
    <x v="2"/>
    <x v="7"/>
    <x v="1"/>
    <x v="0"/>
    <x v="0"/>
    <x v="241"/>
  </r>
  <r>
    <x v="2"/>
    <x v="8"/>
    <x v="1"/>
    <x v="0"/>
    <x v="0"/>
    <x v="58"/>
  </r>
  <r>
    <x v="3"/>
    <x v="9"/>
    <x v="1"/>
    <x v="0"/>
    <x v="0"/>
    <x v="133"/>
  </r>
  <r>
    <x v="3"/>
    <x v="10"/>
    <x v="1"/>
    <x v="0"/>
    <x v="0"/>
    <x v="10"/>
  </r>
  <r>
    <x v="3"/>
    <x v="11"/>
    <x v="1"/>
    <x v="0"/>
    <x v="0"/>
    <x v="242"/>
  </r>
  <r>
    <x v="3"/>
    <x v="12"/>
    <x v="1"/>
    <x v="0"/>
    <x v="0"/>
    <x v="44"/>
  </r>
  <r>
    <x v="3"/>
    <x v="13"/>
    <x v="1"/>
    <x v="0"/>
    <x v="0"/>
    <x v="243"/>
  </r>
  <r>
    <x v="3"/>
    <x v="14"/>
    <x v="1"/>
    <x v="0"/>
    <x v="0"/>
    <x v="73"/>
  </r>
  <r>
    <x v="3"/>
    <x v="15"/>
    <x v="1"/>
    <x v="0"/>
    <x v="0"/>
    <x v="201"/>
  </r>
  <r>
    <x v="3"/>
    <x v="16"/>
    <x v="1"/>
    <x v="0"/>
    <x v="0"/>
    <x v="244"/>
  </r>
  <r>
    <x v="3"/>
    <x v="17"/>
    <x v="1"/>
    <x v="0"/>
    <x v="0"/>
    <x v="245"/>
  </r>
  <r>
    <x v="3"/>
    <x v="18"/>
    <x v="1"/>
    <x v="0"/>
    <x v="0"/>
    <x v="34"/>
  </r>
  <r>
    <x v="3"/>
    <x v="19"/>
    <x v="1"/>
    <x v="0"/>
    <x v="0"/>
    <x v="246"/>
  </r>
  <r>
    <x v="3"/>
    <x v="20"/>
    <x v="1"/>
    <x v="0"/>
    <x v="0"/>
    <x v="247"/>
  </r>
  <r>
    <x v="3"/>
    <x v="21"/>
    <x v="1"/>
    <x v="0"/>
    <x v="0"/>
    <x v="95"/>
  </r>
  <r>
    <x v="3"/>
    <x v="22"/>
    <x v="1"/>
    <x v="0"/>
    <x v="0"/>
    <x v="248"/>
  </r>
  <r>
    <x v="3"/>
    <x v="23"/>
    <x v="1"/>
    <x v="0"/>
    <x v="0"/>
    <x v="249"/>
  </r>
  <r>
    <x v="3"/>
    <x v="24"/>
    <x v="1"/>
    <x v="0"/>
    <x v="0"/>
    <x v="250"/>
  </r>
  <r>
    <x v="3"/>
    <x v="25"/>
    <x v="1"/>
    <x v="0"/>
    <x v="0"/>
    <x v="251"/>
  </r>
  <r>
    <x v="3"/>
    <x v="26"/>
    <x v="1"/>
    <x v="0"/>
    <x v="0"/>
    <x v="252"/>
  </r>
  <r>
    <x v="3"/>
    <x v="27"/>
    <x v="1"/>
    <x v="0"/>
    <x v="0"/>
    <x v="253"/>
  </r>
  <r>
    <x v="3"/>
    <x v="28"/>
    <x v="1"/>
    <x v="0"/>
    <x v="0"/>
    <x v="254"/>
  </r>
  <r>
    <x v="3"/>
    <x v="29"/>
    <x v="1"/>
    <x v="0"/>
    <x v="0"/>
    <x v="255"/>
  </r>
  <r>
    <x v="3"/>
    <x v="30"/>
    <x v="1"/>
    <x v="0"/>
    <x v="0"/>
    <x v="256"/>
  </r>
  <r>
    <x v="3"/>
    <x v="31"/>
    <x v="1"/>
    <x v="0"/>
    <x v="0"/>
    <x v="257"/>
  </r>
  <r>
    <x v="3"/>
    <x v="32"/>
    <x v="1"/>
    <x v="0"/>
    <x v="0"/>
    <x v="258"/>
  </r>
  <r>
    <x v="3"/>
    <x v="33"/>
    <x v="1"/>
    <x v="0"/>
    <x v="0"/>
    <x v="259"/>
  </r>
  <r>
    <x v="3"/>
    <x v="34"/>
    <x v="1"/>
    <x v="0"/>
    <x v="0"/>
    <x v="260"/>
  </r>
  <r>
    <x v="3"/>
    <x v="35"/>
    <x v="1"/>
    <x v="0"/>
    <x v="0"/>
    <x v="261"/>
  </r>
  <r>
    <x v="3"/>
    <x v="36"/>
    <x v="1"/>
    <x v="0"/>
    <x v="0"/>
    <x v="12"/>
  </r>
  <r>
    <x v="3"/>
    <x v="37"/>
    <x v="1"/>
    <x v="0"/>
    <x v="0"/>
    <x v="262"/>
  </r>
  <r>
    <x v="3"/>
    <x v="38"/>
    <x v="1"/>
    <x v="0"/>
    <x v="0"/>
    <x v="263"/>
  </r>
  <r>
    <x v="3"/>
    <x v="39"/>
    <x v="1"/>
    <x v="0"/>
    <x v="0"/>
    <x v="38"/>
  </r>
  <r>
    <x v="3"/>
    <x v="40"/>
    <x v="1"/>
    <x v="0"/>
    <x v="0"/>
    <x v="264"/>
  </r>
  <r>
    <x v="3"/>
    <x v="41"/>
    <x v="1"/>
    <x v="0"/>
    <x v="0"/>
    <x v="265"/>
  </r>
  <r>
    <x v="4"/>
    <x v="42"/>
    <x v="1"/>
    <x v="0"/>
    <x v="0"/>
    <x v="41"/>
  </r>
  <r>
    <x v="4"/>
    <x v="43"/>
    <x v="1"/>
    <x v="0"/>
    <x v="0"/>
    <x v="42"/>
  </r>
  <r>
    <x v="4"/>
    <x v="44"/>
    <x v="1"/>
    <x v="0"/>
    <x v="0"/>
    <x v="43"/>
  </r>
  <r>
    <x v="4"/>
    <x v="45"/>
    <x v="1"/>
    <x v="0"/>
    <x v="0"/>
    <x v="46"/>
  </r>
  <r>
    <x v="4"/>
    <x v="46"/>
    <x v="1"/>
    <x v="0"/>
    <x v="0"/>
    <x v="45"/>
  </r>
  <r>
    <x v="4"/>
    <x v="47"/>
    <x v="1"/>
    <x v="0"/>
    <x v="0"/>
    <x v="52"/>
  </r>
  <r>
    <x v="4"/>
    <x v="48"/>
    <x v="1"/>
    <x v="0"/>
    <x v="0"/>
    <x v="266"/>
  </r>
  <r>
    <x v="4"/>
    <x v="49"/>
    <x v="1"/>
    <x v="0"/>
    <x v="0"/>
    <x v="48"/>
  </r>
  <r>
    <x v="5"/>
    <x v="50"/>
    <x v="1"/>
    <x v="0"/>
    <x v="0"/>
    <x v="43"/>
  </r>
  <r>
    <x v="5"/>
    <x v="51"/>
    <x v="1"/>
    <x v="0"/>
    <x v="0"/>
    <x v="267"/>
  </r>
  <r>
    <x v="5"/>
    <x v="52"/>
    <x v="1"/>
    <x v="0"/>
    <x v="0"/>
    <x v="268"/>
  </r>
  <r>
    <x v="5"/>
    <x v="53"/>
    <x v="1"/>
    <x v="0"/>
    <x v="0"/>
    <x v="269"/>
  </r>
  <r>
    <x v="5"/>
    <x v="54"/>
    <x v="1"/>
    <x v="0"/>
    <x v="0"/>
    <x v="148"/>
  </r>
  <r>
    <x v="5"/>
    <x v="55"/>
    <x v="1"/>
    <x v="0"/>
    <x v="0"/>
    <x v="242"/>
  </r>
  <r>
    <x v="5"/>
    <x v="56"/>
    <x v="1"/>
    <x v="0"/>
    <x v="0"/>
    <x v="270"/>
  </r>
  <r>
    <x v="5"/>
    <x v="57"/>
    <x v="1"/>
    <x v="0"/>
    <x v="0"/>
    <x v="271"/>
  </r>
  <r>
    <x v="5"/>
    <x v="58"/>
    <x v="1"/>
    <x v="0"/>
    <x v="0"/>
    <x v="272"/>
  </r>
  <r>
    <x v="5"/>
    <x v="59"/>
    <x v="1"/>
    <x v="0"/>
    <x v="0"/>
    <x v="74"/>
  </r>
  <r>
    <x v="5"/>
    <x v="60"/>
    <x v="1"/>
    <x v="0"/>
    <x v="0"/>
    <x v="273"/>
  </r>
  <r>
    <x v="5"/>
    <x v="61"/>
    <x v="1"/>
    <x v="0"/>
    <x v="0"/>
    <x v="59"/>
  </r>
  <r>
    <x v="5"/>
    <x v="62"/>
    <x v="1"/>
    <x v="0"/>
    <x v="0"/>
    <x v="274"/>
  </r>
  <r>
    <x v="5"/>
    <x v="63"/>
    <x v="1"/>
    <x v="0"/>
    <x v="0"/>
    <x v="275"/>
  </r>
  <r>
    <x v="6"/>
    <x v="64"/>
    <x v="1"/>
    <x v="0"/>
    <x v="0"/>
    <x v="85"/>
  </r>
  <r>
    <x v="6"/>
    <x v="65"/>
    <x v="1"/>
    <x v="0"/>
    <x v="0"/>
    <x v="276"/>
  </r>
  <r>
    <x v="6"/>
    <x v="66"/>
    <x v="1"/>
    <x v="0"/>
    <x v="0"/>
    <x v="277"/>
  </r>
  <r>
    <x v="6"/>
    <x v="67"/>
    <x v="1"/>
    <x v="0"/>
    <x v="0"/>
    <x v="278"/>
  </r>
  <r>
    <x v="6"/>
    <x v="68"/>
    <x v="1"/>
    <x v="0"/>
    <x v="0"/>
    <x v="279"/>
  </r>
  <r>
    <x v="6"/>
    <x v="69"/>
    <x v="1"/>
    <x v="0"/>
    <x v="0"/>
    <x v="5"/>
  </r>
  <r>
    <x v="6"/>
    <x v="70"/>
    <x v="1"/>
    <x v="0"/>
    <x v="0"/>
    <x v="67"/>
  </r>
  <r>
    <x v="6"/>
    <x v="71"/>
    <x v="1"/>
    <x v="0"/>
    <x v="0"/>
    <x v="68"/>
  </r>
  <r>
    <x v="7"/>
    <x v="72"/>
    <x v="1"/>
    <x v="0"/>
    <x v="0"/>
    <x v="95"/>
  </r>
  <r>
    <x v="7"/>
    <x v="73"/>
    <x v="1"/>
    <x v="0"/>
    <x v="0"/>
    <x v="46"/>
  </r>
  <r>
    <x v="7"/>
    <x v="74"/>
    <x v="1"/>
    <x v="0"/>
    <x v="0"/>
    <x v="274"/>
  </r>
  <r>
    <x v="7"/>
    <x v="75"/>
    <x v="1"/>
    <x v="0"/>
    <x v="0"/>
    <x v="280"/>
  </r>
  <r>
    <x v="7"/>
    <x v="76"/>
    <x v="1"/>
    <x v="0"/>
    <x v="0"/>
    <x v="73"/>
  </r>
  <r>
    <x v="7"/>
    <x v="77"/>
    <x v="1"/>
    <x v="0"/>
    <x v="0"/>
    <x v="197"/>
  </r>
  <r>
    <x v="7"/>
    <x v="78"/>
    <x v="1"/>
    <x v="0"/>
    <x v="0"/>
    <x v="74"/>
  </r>
  <r>
    <x v="7"/>
    <x v="79"/>
    <x v="1"/>
    <x v="0"/>
    <x v="0"/>
    <x v="116"/>
  </r>
  <r>
    <x v="7"/>
    <x v="80"/>
    <x v="1"/>
    <x v="0"/>
    <x v="0"/>
    <x v="281"/>
  </r>
  <r>
    <x v="7"/>
    <x v="81"/>
    <x v="1"/>
    <x v="0"/>
    <x v="0"/>
    <x v="75"/>
  </r>
  <r>
    <x v="7"/>
    <x v="82"/>
    <x v="1"/>
    <x v="0"/>
    <x v="0"/>
    <x v="282"/>
  </r>
  <r>
    <x v="8"/>
    <x v="83"/>
    <x v="1"/>
    <x v="0"/>
    <x v="0"/>
    <x v="283"/>
  </r>
  <r>
    <x v="8"/>
    <x v="84"/>
    <x v="1"/>
    <x v="0"/>
    <x v="0"/>
    <x v="284"/>
  </r>
  <r>
    <x v="8"/>
    <x v="85"/>
    <x v="1"/>
    <x v="0"/>
    <x v="0"/>
    <x v="285"/>
  </r>
  <r>
    <x v="8"/>
    <x v="86"/>
    <x v="1"/>
    <x v="0"/>
    <x v="0"/>
    <x v="286"/>
  </r>
  <r>
    <x v="8"/>
    <x v="87"/>
    <x v="1"/>
    <x v="0"/>
    <x v="0"/>
    <x v="287"/>
  </r>
  <r>
    <x v="8"/>
    <x v="88"/>
    <x v="1"/>
    <x v="0"/>
    <x v="0"/>
    <x v="288"/>
  </r>
  <r>
    <x v="9"/>
    <x v="89"/>
    <x v="1"/>
    <x v="0"/>
    <x v="0"/>
    <x v="82"/>
  </r>
  <r>
    <x v="9"/>
    <x v="90"/>
    <x v="1"/>
    <x v="0"/>
    <x v="0"/>
    <x v="289"/>
  </r>
  <r>
    <x v="9"/>
    <x v="91"/>
    <x v="1"/>
    <x v="0"/>
    <x v="0"/>
    <x v="290"/>
  </r>
  <r>
    <x v="0"/>
    <x v="0"/>
    <x v="1"/>
    <x v="0"/>
    <x v="1"/>
    <x v="291"/>
  </r>
  <r>
    <x v="0"/>
    <x v="1"/>
    <x v="1"/>
    <x v="0"/>
    <x v="1"/>
    <x v="292"/>
  </r>
  <r>
    <x v="0"/>
    <x v="2"/>
    <x v="1"/>
    <x v="0"/>
    <x v="1"/>
    <x v="69"/>
  </r>
  <r>
    <x v="0"/>
    <x v="3"/>
    <x v="1"/>
    <x v="0"/>
    <x v="1"/>
    <x v="293"/>
  </r>
  <r>
    <x v="1"/>
    <x v="4"/>
    <x v="1"/>
    <x v="0"/>
    <x v="1"/>
    <x v="294"/>
  </r>
  <r>
    <x v="1"/>
    <x v="5"/>
    <x v="1"/>
    <x v="0"/>
    <x v="1"/>
    <x v="295"/>
  </r>
  <r>
    <x v="1"/>
    <x v="6"/>
    <x v="1"/>
    <x v="0"/>
    <x v="1"/>
    <x v="70"/>
  </r>
  <r>
    <x v="2"/>
    <x v="7"/>
    <x v="1"/>
    <x v="0"/>
    <x v="1"/>
    <x v="296"/>
  </r>
  <r>
    <x v="2"/>
    <x v="8"/>
    <x v="1"/>
    <x v="0"/>
    <x v="1"/>
    <x v="297"/>
  </r>
  <r>
    <x v="3"/>
    <x v="9"/>
    <x v="1"/>
    <x v="0"/>
    <x v="1"/>
    <x v="52"/>
  </r>
  <r>
    <x v="3"/>
    <x v="10"/>
    <x v="1"/>
    <x v="0"/>
    <x v="1"/>
    <x v="74"/>
  </r>
  <r>
    <x v="3"/>
    <x v="11"/>
    <x v="1"/>
    <x v="0"/>
    <x v="1"/>
    <x v="146"/>
  </r>
  <r>
    <x v="3"/>
    <x v="12"/>
    <x v="1"/>
    <x v="0"/>
    <x v="1"/>
    <x v="44"/>
  </r>
  <r>
    <x v="3"/>
    <x v="13"/>
    <x v="1"/>
    <x v="0"/>
    <x v="1"/>
    <x v="298"/>
  </r>
  <r>
    <x v="3"/>
    <x v="14"/>
    <x v="1"/>
    <x v="0"/>
    <x v="1"/>
    <x v="57"/>
  </r>
  <r>
    <x v="3"/>
    <x v="15"/>
    <x v="1"/>
    <x v="0"/>
    <x v="1"/>
    <x v="199"/>
  </r>
  <r>
    <x v="3"/>
    <x v="16"/>
    <x v="1"/>
    <x v="0"/>
    <x v="1"/>
    <x v="299"/>
  </r>
  <r>
    <x v="3"/>
    <x v="17"/>
    <x v="1"/>
    <x v="0"/>
    <x v="1"/>
    <x v="300"/>
  </r>
  <r>
    <x v="3"/>
    <x v="18"/>
    <x v="1"/>
    <x v="0"/>
    <x v="1"/>
    <x v="301"/>
  </r>
  <r>
    <x v="3"/>
    <x v="19"/>
    <x v="1"/>
    <x v="0"/>
    <x v="1"/>
    <x v="286"/>
  </r>
  <r>
    <x v="3"/>
    <x v="20"/>
    <x v="1"/>
    <x v="0"/>
    <x v="1"/>
    <x v="302"/>
  </r>
  <r>
    <x v="3"/>
    <x v="21"/>
    <x v="1"/>
    <x v="0"/>
    <x v="1"/>
    <x v="87"/>
  </r>
  <r>
    <x v="3"/>
    <x v="22"/>
    <x v="1"/>
    <x v="0"/>
    <x v="1"/>
    <x v="303"/>
  </r>
  <r>
    <x v="3"/>
    <x v="23"/>
    <x v="1"/>
    <x v="0"/>
    <x v="1"/>
    <x v="304"/>
  </r>
  <r>
    <x v="3"/>
    <x v="24"/>
    <x v="1"/>
    <x v="0"/>
    <x v="1"/>
    <x v="305"/>
  </r>
  <r>
    <x v="3"/>
    <x v="25"/>
    <x v="1"/>
    <x v="0"/>
    <x v="1"/>
    <x v="306"/>
  </r>
  <r>
    <x v="3"/>
    <x v="26"/>
    <x v="1"/>
    <x v="0"/>
    <x v="1"/>
    <x v="307"/>
  </r>
  <r>
    <x v="3"/>
    <x v="27"/>
    <x v="1"/>
    <x v="0"/>
    <x v="1"/>
    <x v="308"/>
  </r>
  <r>
    <x v="3"/>
    <x v="28"/>
    <x v="1"/>
    <x v="0"/>
    <x v="1"/>
    <x v="309"/>
  </r>
  <r>
    <x v="3"/>
    <x v="29"/>
    <x v="1"/>
    <x v="0"/>
    <x v="1"/>
    <x v="310"/>
  </r>
  <r>
    <x v="3"/>
    <x v="30"/>
    <x v="1"/>
    <x v="0"/>
    <x v="1"/>
    <x v="110"/>
  </r>
  <r>
    <x v="3"/>
    <x v="31"/>
    <x v="1"/>
    <x v="0"/>
    <x v="1"/>
    <x v="311"/>
  </r>
  <r>
    <x v="3"/>
    <x v="32"/>
    <x v="1"/>
    <x v="0"/>
    <x v="1"/>
    <x v="312"/>
  </r>
  <r>
    <x v="3"/>
    <x v="33"/>
    <x v="1"/>
    <x v="0"/>
    <x v="1"/>
    <x v="313"/>
  </r>
  <r>
    <x v="3"/>
    <x v="34"/>
    <x v="1"/>
    <x v="0"/>
    <x v="1"/>
    <x v="314"/>
  </r>
  <r>
    <x v="3"/>
    <x v="35"/>
    <x v="1"/>
    <x v="0"/>
    <x v="1"/>
    <x v="315"/>
  </r>
  <r>
    <x v="3"/>
    <x v="36"/>
    <x v="1"/>
    <x v="0"/>
    <x v="1"/>
    <x v="95"/>
  </r>
  <r>
    <x v="3"/>
    <x v="37"/>
    <x v="1"/>
    <x v="0"/>
    <x v="1"/>
    <x v="316"/>
  </r>
  <r>
    <x v="3"/>
    <x v="38"/>
    <x v="1"/>
    <x v="0"/>
    <x v="1"/>
    <x v="317"/>
  </r>
  <r>
    <x v="3"/>
    <x v="39"/>
    <x v="1"/>
    <x v="0"/>
    <x v="1"/>
    <x v="117"/>
  </r>
  <r>
    <x v="3"/>
    <x v="40"/>
    <x v="1"/>
    <x v="0"/>
    <x v="1"/>
    <x v="318"/>
  </r>
  <r>
    <x v="3"/>
    <x v="41"/>
    <x v="1"/>
    <x v="0"/>
    <x v="1"/>
    <x v="193"/>
  </r>
  <r>
    <x v="4"/>
    <x v="42"/>
    <x v="1"/>
    <x v="0"/>
    <x v="1"/>
    <x v="121"/>
  </r>
  <r>
    <x v="4"/>
    <x v="43"/>
    <x v="1"/>
    <x v="0"/>
    <x v="1"/>
    <x v="122"/>
  </r>
  <r>
    <x v="4"/>
    <x v="44"/>
    <x v="1"/>
    <x v="0"/>
    <x v="1"/>
    <x v="123"/>
  </r>
  <r>
    <x v="4"/>
    <x v="45"/>
    <x v="1"/>
    <x v="0"/>
    <x v="1"/>
    <x v="5"/>
  </r>
  <r>
    <x v="4"/>
    <x v="46"/>
    <x v="1"/>
    <x v="0"/>
    <x v="1"/>
    <x v="56"/>
  </r>
  <r>
    <x v="4"/>
    <x v="47"/>
    <x v="1"/>
    <x v="0"/>
    <x v="1"/>
    <x v="220"/>
  </r>
  <r>
    <x v="4"/>
    <x v="48"/>
    <x v="1"/>
    <x v="0"/>
    <x v="1"/>
    <x v="319"/>
  </r>
  <r>
    <x v="4"/>
    <x v="49"/>
    <x v="1"/>
    <x v="0"/>
    <x v="1"/>
    <x v="127"/>
  </r>
  <r>
    <x v="5"/>
    <x v="50"/>
    <x v="1"/>
    <x v="0"/>
    <x v="1"/>
    <x v="128"/>
  </r>
  <r>
    <x v="5"/>
    <x v="51"/>
    <x v="1"/>
    <x v="0"/>
    <x v="1"/>
    <x v="320"/>
  </r>
  <r>
    <x v="5"/>
    <x v="52"/>
    <x v="1"/>
    <x v="0"/>
    <x v="1"/>
    <x v="321"/>
  </r>
  <r>
    <x v="5"/>
    <x v="53"/>
    <x v="1"/>
    <x v="0"/>
    <x v="1"/>
    <x v="322"/>
  </r>
  <r>
    <x v="5"/>
    <x v="54"/>
    <x v="1"/>
    <x v="0"/>
    <x v="1"/>
    <x v="284"/>
  </r>
  <r>
    <x v="5"/>
    <x v="55"/>
    <x v="1"/>
    <x v="0"/>
    <x v="1"/>
    <x v="323"/>
  </r>
  <r>
    <x v="5"/>
    <x v="56"/>
    <x v="1"/>
    <x v="0"/>
    <x v="1"/>
    <x v="128"/>
  </r>
  <r>
    <x v="5"/>
    <x v="57"/>
    <x v="1"/>
    <x v="0"/>
    <x v="1"/>
    <x v="324"/>
  </r>
  <r>
    <x v="5"/>
    <x v="58"/>
    <x v="1"/>
    <x v="0"/>
    <x v="1"/>
    <x v="325"/>
  </r>
  <r>
    <x v="5"/>
    <x v="59"/>
    <x v="1"/>
    <x v="0"/>
    <x v="1"/>
    <x v="116"/>
  </r>
  <r>
    <x v="5"/>
    <x v="60"/>
    <x v="1"/>
    <x v="0"/>
    <x v="1"/>
    <x v="326"/>
  </r>
  <r>
    <x v="5"/>
    <x v="61"/>
    <x v="1"/>
    <x v="0"/>
    <x v="1"/>
    <x v="137"/>
  </r>
  <r>
    <x v="5"/>
    <x v="62"/>
    <x v="1"/>
    <x v="0"/>
    <x v="1"/>
    <x v="327"/>
  </r>
  <r>
    <x v="5"/>
    <x v="63"/>
    <x v="1"/>
    <x v="0"/>
    <x v="1"/>
    <x v="328"/>
  </r>
  <r>
    <x v="6"/>
    <x v="64"/>
    <x v="1"/>
    <x v="0"/>
    <x v="1"/>
    <x v="14"/>
  </r>
  <r>
    <x v="6"/>
    <x v="65"/>
    <x v="1"/>
    <x v="0"/>
    <x v="1"/>
    <x v="329"/>
  </r>
  <r>
    <x v="6"/>
    <x v="66"/>
    <x v="1"/>
    <x v="0"/>
    <x v="1"/>
    <x v="330"/>
  </r>
  <r>
    <x v="6"/>
    <x v="67"/>
    <x v="1"/>
    <x v="0"/>
    <x v="1"/>
    <x v="331"/>
  </r>
  <r>
    <x v="6"/>
    <x v="68"/>
    <x v="1"/>
    <x v="0"/>
    <x v="1"/>
    <x v="332"/>
  </r>
  <r>
    <x v="6"/>
    <x v="69"/>
    <x v="1"/>
    <x v="0"/>
    <x v="1"/>
    <x v="327"/>
  </r>
  <r>
    <x v="6"/>
    <x v="70"/>
    <x v="1"/>
    <x v="0"/>
    <x v="1"/>
    <x v="143"/>
  </r>
  <r>
    <x v="6"/>
    <x v="71"/>
    <x v="1"/>
    <x v="0"/>
    <x v="1"/>
    <x v="144"/>
  </r>
  <r>
    <x v="7"/>
    <x v="72"/>
    <x v="1"/>
    <x v="0"/>
    <x v="1"/>
    <x v="167"/>
  </r>
  <r>
    <x v="7"/>
    <x v="73"/>
    <x v="1"/>
    <x v="0"/>
    <x v="1"/>
    <x v="167"/>
  </r>
  <r>
    <x v="7"/>
    <x v="74"/>
    <x v="1"/>
    <x v="0"/>
    <x v="1"/>
    <x v="333"/>
  </r>
  <r>
    <x v="7"/>
    <x v="75"/>
    <x v="1"/>
    <x v="0"/>
    <x v="1"/>
    <x v="334"/>
  </r>
  <r>
    <x v="7"/>
    <x v="76"/>
    <x v="1"/>
    <x v="0"/>
    <x v="1"/>
    <x v="148"/>
  </r>
  <r>
    <x v="7"/>
    <x v="77"/>
    <x v="1"/>
    <x v="0"/>
    <x v="1"/>
    <x v="38"/>
  </r>
  <r>
    <x v="7"/>
    <x v="78"/>
    <x v="1"/>
    <x v="0"/>
    <x v="1"/>
    <x v="167"/>
  </r>
  <r>
    <x v="7"/>
    <x v="79"/>
    <x v="1"/>
    <x v="0"/>
    <x v="1"/>
    <x v="192"/>
  </r>
  <r>
    <x v="7"/>
    <x v="80"/>
    <x v="1"/>
    <x v="0"/>
    <x v="1"/>
    <x v="148"/>
  </r>
  <r>
    <x v="7"/>
    <x v="81"/>
    <x v="1"/>
    <x v="0"/>
    <x v="1"/>
    <x v="151"/>
  </r>
  <r>
    <x v="7"/>
    <x v="82"/>
    <x v="1"/>
    <x v="0"/>
    <x v="1"/>
    <x v="138"/>
  </r>
  <r>
    <x v="8"/>
    <x v="83"/>
    <x v="1"/>
    <x v="0"/>
    <x v="1"/>
    <x v="335"/>
  </r>
  <r>
    <x v="8"/>
    <x v="84"/>
    <x v="1"/>
    <x v="0"/>
    <x v="1"/>
    <x v="320"/>
  </r>
  <r>
    <x v="8"/>
    <x v="85"/>
    <x v="1"/>
    <x v="0"/>
    <x v="1"/>
    <x v="336"/>
  </r>
  <r>
    <x v="8"/>
    <x v="86"/>
    <x v="1"/>
    <x v="0"/>
    <x v="1"/>
    <x v="337"/>
  </r>
  <r>
    <x v="8"/>
    <x v="87"/>
    <x v="1"/>
    <x v="0"/>
    <x v="1"/>
    <x v="338"/>
  </r>
  <r>
    <x v="8"/>
    <x v="88"/>
    <x v="1"/>
    <x v="0"/>
    <x v="1"/>
    <x v="339"/>
  </r>
  <r>
    <x v="9"/>
    <x v="89"/>
    <x v="1"/>
    <x v="0"/>
    <x v="1"/>
    <x v="158"/>
  </r>
  <r>
    <x v="9"/>
    <x v="90"/>
    <x v="1"/>
    <x v="0"/>
    <x v="1"/>
    <x v="340"/>
  </r>
  <r>
    <x v="9"/>
    <x v="91"/>
    <x v="1"/>
    <x v="0"/>
    <x v="1"/>
    <x v="341"/>
  </r>
  <r>
    <x v="0"/>
    <x v="0"/>
    <x v="1"/>
    <x v="1"/>
    <x v="0"/>
    <x v="92"/>
  </r>
  <r>
    <x v="0"/>
    <x v="1"/>
    <x v="1"/>
    <x v="1"/>
    <x v="0"/>
    <x v="342"/>
  </r>
  <r>
    <x v="0"/>
    <x v="2"/>
    <x v="1"/>
    <x v="1"/>
    <x v="0"/>
    <x v="343"/>
  </r>
  <r>
    <x v="0"/>
    <x v="3"/>
    <x v="1"/>
    <x v="1"/>
    <x v="0"/>
    <x v="344"/>
  </r>
  <r>
    <x v="1"/>
    <x v="4"/>
    <x v="1"/>
    <x v="1"/>
    <x v="0"/>
    <x v="345"/>
  </r>
  <r>
    <x v="1"/>
    <x v="5"/>
    <x v="1"/>
    <x v="1"/>
    <x v="0"/>
    <x v="192"/>
  </r>
  <r>
    <x v="1"/>
    <x v="6"/>
    <x v="1"/>
    <x v="1"/>
    <x v="0"/>
    <x v="167"/>
  </r>
  <r>
    <x v="2"/>
    <x v="7"/>
    <x v="1"/>
    <x v="1"/>
    <x v="0"/>
    <x v="346"/>
  </r>
  <r>
    <x v="2"/>
    <x v="8"/>
    <x v="1"/>
    <x v="1"/>
    <x v="0"/>
    <x v="347"/>
  </r>
  <r>
    <x v="3"/>
    <x v="9"/>
    <x v="1"/>
    <x v="1"/>
    <x v="0"/>
    <x v="44"/>
  </r>
  <r>
    <x v="3"/>
    <x v="10"/>
    <x v="1"/>
    <x v="1"/>
    <x v="0"/>
    <x v="21"/>
  </r>
  <r>
    <x v="3"/>
    <x v="11"/>
    <x v="1"/>
    <x v="1"/>
    <x v="0"/>
    <x v="145"/>
  </r>
  <r>
    <x v="3"/>
    <x v="12"/>
    <x v="1"/>
    <x v="1"/>
    <x v="0"/>
    <x v="175"/>
  </r>
  <r>
    <x v="3"/>
    <x v="13"/>
    <x v="1"/>
    <x v="1"/>
    <x v="0"/>
    <x v="348"/>
  </r>
  <r>
    <x v="3"/>
    <x v="14"/>
    <x v="1"/>
    <x v="1"/>
    <x v="0"/>
    <x v="175"/>
  </r>
  <r>
    <x v="3"/>
    <x v="15"/>
    <x v="1"/>
    <x v="1"/>
    <x v="0"/>
    <x v="192"/>
  </r>
  <r>
    <x v="3"/>
    <x v="16"/>
    <x v="1"/>
    <x v="1"/>
    <x v="0"/>
    <x v="349"/>
  </r>
  <r>
    <x v="3"/>
    <x v="17"/>
    <x v="1"/>
    <x v="1"/>
    <x v="0"/>
    <x v="350"/>
  </r>
  <r>
    <x v="3"/>
    <x v="18"/>
    <x v="1"/>
    <x v="1"/>
    <x v="0"/>
    <x v="351"/>
  </r>
  <r>
    <x v="3"/>
    <x v="19"/>
    <x v="1"/>
    <x v="1"/>
    <x v="0"/>
    <x v="352"/>
  </r>
  <r>
    <x v="3"/>
    <x v="20"/>
    <x v="1"/>
    <x v="1"/>
    <x v="0"/>
    <x v="353"/>
  </r>
  <r>
    <x v="3"/>
    <x v="21"/>
    <x v="1"/>
    <x v="1"/>
    <x v="0"/>
    <x v="175"/>
  </r>
  <r>
    <x v="3"/>
    <x v="22"/>
    <x v="1"/>
    <x v="1"/>
    <x v="0"/>
    <x v="78"/>
  </r>
  <r>
    <x v="3"/>
    <x v="23"/>
    <x v="1"/>
    <x v="1"/>
    <x v="0"/>
    <x v="87"/>
  </r>
  <r>
    <x v="3"/>
    <x v="24"/>
    <x v="1"/>
    <x v="1"/>
    <x v="0"/>
    <x v="354"/>
  </r>
  <r>
    <x v="3"/>
    <x v="25"/>
    <x v="1"/>
    <x v="1"/>
    <x v="0"/>
    <x v="355"/>
  </r>
  <r>
    <x v="3"/>
    <x v="26"/>
    <x v="1"/>
    <x v="1"/>
    <x v="0"/>
    <x v="356"/>
  </r>
  <r>
    <x v="3"/>
    <x v="27"/>
    <x v="1"/>
    <x v="1"/>
    <x v="0"/>
    <x v="357"/>
  </r>
  <r>
    <x v="3"/>
    <x v="28"/>
    <x v="1"/>
    <x v="1"/>
    <x v="0"/>
    <x v="358"/>
  </r>
  <r>
    <x v="3"/>
    <x v="29"/>
    <x v="1"/>
    <x v="1"/>
    <x v="0"/>
    <x v="359"/>
  </r>
  <r>
    <x v="3"/>
    <x v="30"/>
    <x v="1"/>
    <x v="1"/>
    <x v="0"/>
    <x v="360"/>
  </r>
  <r>
    <x v="3"/>
    <x v="31"/>
    <x v="1"/>
    <x v="1"/>
    <x v="0"/>
    <x v="361"/>
  </r>
  <r>
    <x v="3"/>
    <x v="32"/>
    <x v="1"/>
    <x v="1"/>
    <x v="0"/>
    <x v="22"/>
  </r>
  <r>
    <x v="3"/>
    <x v="33"/>
    <x v="1"/>
    <x v="1"/>
    <x v="0"/>
    <x v="362"/>
  </r>
  <r>
    <x v="3"/>
    <x v="34"/>
    <x v="1"/>
    <x v="1"/>
    <x v="0"/>
    <x v="363"/>
  </r>
  <r>
    <x v="3"/>
    <x v="35"/>
    <x v="1"/>
    <x v="1"/>
    <x v="0"/>
    <x v="364"/>
  </r>
  <r>
    <x v="3"/>
    <x v="36"/>
    <x v="1"/>
    <x v="1"/>
    <x v="0"/>
    <x v="87"/>
  </r>
  <r>
    <x v="3"/>
    <x v="37"/>
    <x v="1"/>
    <x v="1"/>
    <x v="0"/>
    <x v="284"/>
  </r>
  <r>
    <x v="3"/>
    <x v="38"/>
    <x v="1"/>
    <x v="1"/>
    <x v="0"/>
    <x v="365"/>
  </r>
  <r>
    <x v="3"/>
    <x v="39"/>
    <x v="1"/>
    <x v="1"/>
    <x v="0"/>
    <x v="21"/>
  </r>
  <r>
    <x v="3"/>
    <x v="40"/>
    <x v="1"/>
    <x v="1"/>
    <x v="0"/>
    <x v="192"/>
  </r>
  <r>
    <x v="3"/>
    <x v="41"/>
    <x v="1"/>
    <x v="1"/>
    <x v="0"/>
    <x v="366"/>
  </r>
  <r>
    <x v="4"/>
    <x v="42"/>
    <x v="1"/>
    <x v="1"/>
    <x v="0"/>
    <x v="190"/>
  </r>
  <r>
    <x v="4"/>
    <x v="43"/>
    <x v="1"/>
    <x v="1"/>
    <x v="0"/>
    <x v="57"/>
  </r>
  <r>
    <x v="4"/>
    <x v="44"/>
    <x v="1"/>
    <x v="1"/>
    <x v="0"/>
    <x v="191"/>
  </r>
  <r>
    <x v="4"/>
    <x v="45"/>
    <x v="1"/>
    <x v="1"/>
    <x v="0"/>
    <x v="116"/>
  </r>
  <r>
    <x v="4"/>
    <x v="46"/>
    <x v="1"/>
    <x v="1"/>
    <x v="0"/>
    <x v="193"/>
  </r>
  <r>
    <x v="4"/>
    <x v="47"/>
    <x v="1"/>
    <x v="1"/>
    <x v="0"/>
    <x v="95"/>
  </r>
  <r>
    <x v="4"/>
    <x v="48"/>
    <x v="1"/>
    <x v="1"/>
    <x v="0"/>
    <x v="367"/>
  </r>
  <r>
    <x v="4"/>
    <x v="49"/>
    <x v="1"/>
    <x v="1"/>
    <x v="0"/>
    <x v="148"/>
  </r>
  <r>
    <x v="5"/>
    <x v="50"/>
    <x v="1"/>
    <x v="1"/>
    <x v="0"/>
    <x v="149"/>
  </r>
  <r>
    <x v="5"/>
    <x v="51"/>
    <x v="1"/>
    <x v="1"/>
    <x v="0"/>
    <x v="43"/>
  </r>
  <r>
    <x v="5"/>
    <x v="52"/>
    <x v="1"/>
    <x v="1"/>
    <x v="0"/>
    <x v="149"/>
  </r>
  <r>
    <x v="5"/>
    <x v="53"/>
    <x v="1"/>
    <x v="1"/>
    <x v="0"/>
    <x v="46"/>
  </r>
  <r>
    <x v="5"/>
    <x v="54"/>
    <x v="1"/>
    <x v="1"/>
    <x v="0"/>
    <x v="168"/>
  </r>
  <r>
    <x v="5"/>
    <x v="55"/>
    <x v="1"/>
    <x v="1"/>
    <x v="0"/>
    <x v="117"/>
  </r>
  <r>
    <x v="5"/>
    <x v="56"/>
    <x v="1"/>
    <x v="1"/>
    <x v="0"/>
    <x v="230"/>
  </r>
  <r>
    <x v="5"/>
    <x v="57"/>
    <x v="1"/>
    <x v="1"/>
    <x v="0"/>
    <x v="368"/>
  </r>
  <r>
    <x v="5"/>
    <x v="58"/>
    <x v="1"/>
    <x v="1"/>
    <x v="0"/>
    <x v="5"/>
  </r>
  <r>
    <x v="5"/>
    <x v="59"/>
    <x v="1"/>
    <x v="1"/>
    <x v="0"/>
    <x v="136"/>
  </r>
  <r>
    <x v="5"/>
    <x v="60"/>
    <x v="1"/>
    <x v="1"/>
    <x v="0"/>
    <x v="369"/>
  </r>
  <r>
    <x v="5"/>
    <x v="61"/>
    <x v="1"/>
    <x v="1"/>
    <x v="0"/>
    <x v="197"/>
  </r>
  <r>
    <x v="5"/>
    <x v="62"/>
    <x v="1"/>
    <x v="1"/>
    <x v="0"/>
    <x v="204"/>
  </r>
  <r>
    <x v="5"/>
    <x v="63"/>
    <x v="1"/>
    <x v="1"/>
    <x v="0"/>
    <x v="370"/>
  </r>
  <r>
    <x v="6"/>
    <x v="64"/>
    <x v="1"/>
    <x v="1"/>
    <x v="0"/>
    <x v="371"/>
  </r>
  <r>
    <x v="6"/>
    <x v="65"/>
    <x v="1"/>
    <x v="1"/>
    <x v="0"/>
    <x v="101"/>
  </r>
  <r>
    <x v="6"/>
    <x v="66"/>
    <x v="1"/>
    <x v="1"/>
    <x v="0"/>
    <x v="372"/>
  </r>
  <r>
    <x v="6"/>
    <x v="67"/>
    <x v="1"/>
    <x v="1"/>
    <x v="0"/>
    <x v="69"/>
  </r>
  <r>
    <x v="6"/>
    <x v="68"/>
    <x v="1"/>
    <x v="1"/>
    <x v="0"/>
    <x v="373"/>
  </r>
  <r>
    <x v="6"/>
    <x v="69"/>
    <x v="1"/>
    <x v="1"/>
    <x v="0"/>
    <x v="69"/>
  </r>
  <r>
    <x v="6"/>
    <x v="70"/>
    <x v="1"/>
    <x v="1"/>
    <x v="0"/>
    <x v="201"/>
  </r>
  <r>
    <x v="6"/>
    <x v="71"/>
    <x v="1"/>
    <x v="1"/>
    <x v="0"/>
    <x v="203"/>
  </r>
  <r>
    <x v="7"/>
    <x v="72"/>
    <x v="1"/>
    <x v="1"/>
    <x v="0"/>
    <x v="87"/>
  </r>
  <r>
    <x v="7"/>
    <x v="73"/>
    <x v="1"/>
    <x v="1"/>
    <x v="0"/>
    <x v="170"/>
  </r>
  <r>
    <x v="7"/>
    <x v="74"/>
    <x v="1"/>
    <x v="1"/>
    <x v="0"/>
    <x v="74"/>
  </r>
  <r>
    <x v="7"/>
    <x v="75"/>
    <x v="1"/>
    <x v="1"/>
    <x v="0"/>
    <x v="374"/>
  </r>
  <r>
    <x v="7"/>
    <x v="76"/>
    <x v="1"/>
    <x v="1"/>
    <x v="0"/>
    <x v="95"/>
  </r>
  <r>
    <x v="7"/>
    <x v="77"/>
    <x v="1"/>
    <x v="1"/>
    <x v="0"/>
    <x v="93"/>
  </r>
  <r>
    <x v="7"/>
    <x v="78"/>
    <x v="1"/>
    <x v="1"/>
    <x v="0"/>
    <x v="170"/>
  </r>
  <r>
    <x v="7"/>
    <x v="79"/>
    <x v="1"/>
    <x v="1"/>
    <x v="0"/>
    <x v="87"/>
  </r>
  <r>
    <x v="7"/>
    <x v="80"/>
    <x v="1"/>
    <x v="1"/>
    <x v="0"/>
    <x v="87"/>
  </r>
  <r>
    <x v="7"/>
    <x v="81"/>
    <x v="1"/>
    <x v="1"/>
    <x v="0"/>
    <x v="204"/>
  </r>
  <r>
    <x v="7"/>
    <x v="82"/>
    <x v="1"/>
    <x v="1"/>
    <x v="0"/>
    <x v="188"/>
  </r>
  <r>
    <x v="8"/>
    <x v="83"/>
    <x v="1"/>
    <x v="1"/>
    <x v="0"/>
    <x v="85"/>
  </r>
  <r>
    <x v="8"/>
    <x v="84"/>
    <x v="1"/>
    <x v="1"/>
    <x v="0"/>
    <x v="295"/>
  </r>
  <r>
    <x v="8"/>
    <x v="85"/>
    <x v="1"/>
    <x v="1"/>
    <x v="0"/>
    <x v="375"/>
  </r>
  <r>
    <x v="8"/>
    <x v="86"/>
    <x v="1"/>
    <x v="1"/>
    <x v="0"/>
    <x v="214"/>
  </r>
  <r>
    <x v="8"/>
    <x v="87"/>
    <x v="1"/>
    <x v="1"/>
    <x v="0"/>
    <x v="376"/>
  </r>
  <r>
    <x v="8"/>
    <x v="88"/>
    <x v="1"/>
    <x v="1"/>
    <x v="0"/>
    <x v="207"/>
  </r>
  <r>
    <x v="9"/>
    <x v="89"/>
    <x v="1"/>
    <x v="1"/>
    <x v="0"/>
    <x v="209"/>
  </r>
  <r>
    <x v="9"/>
    <x v="90"/>
    <x v="1"/>
    <x v="1"/>
    <x v="0"/>
    <x v="377"/>
  </r>
  <r>
    <x v="9"/>
    <x v="91"/>
    <x v="1"/>
    <x v="1"/>
    <x v="0"/>
    <x v="5"/>
  </r>
  <r>
    <x v="0"/>
    <x v="0"/>
    <x v="1"/>
    <x v="1"/>
    <x v="1"/>
    <x v="87"/>
  </r>
  <r>
    <x v="0"/>
    <x v="1"/>
    <x v="1"/>
    <x v="1"/>
    <x v="1"/>
    <x v="378"/>
  </r>
  <r>
    <x v="0"/>
    <x v="2"/>
    <x v="1"/>
    <x v="1"/>
    <x v="1"/>
    <x v="379"/>
  </r>
  <r>
    <x v="0"/>
    <x v="3"/>
    <x v="1"/>
    <x v="1"/>
    <x v="1"/>
    <x v="380"/>
  </r>
  <r>
    <x v="1"/>
    <x v="4"/>
    <x v="1"/>
    <x v="1"/>
    <x v="1"/>
    <x v="381"/>
  </r>
  <r>
    <x v="1"/>
    <x v="5"/>
    <x v="1"/>
    <x v="1"/>
    <x v="1"/>
    <x v="87"/>
  </r>
  <r>
    <x v="1"/>
    <x v="6"/>
    <x v="1"/>
    <x v="1"/>
    <x v="1"/>
    <x v="175"/>
  </r>
  <r>
    <x v="2"/>
    <x v="7"/>
    <x v="1"/>
    <x v="1"/>
    <x v="1"/>
    <x v="382"/>
  </r>
  <r>
    <x v="2"/>
    <x v="8"/>
    <x v="1"/>
    <x v="1"/>
    <x v="1"/>
    <x v="38"/>
  </r>
  <r>
    <x v="3"/>
    <x v="9"/>
    <x v="1"/>
    <x v="1"/>
    <x v="1"/>
    <x v="87"/>
  </r>
  <r>
    <x v="3"/>
    <x v="10"/>
    <x v="1"/>
    <x v="1"/>
    <x v="1"/>
    <x v="87"/>
  </r>
  <r>
    <x v="3"/>
    <x v="11"/>
    <x v="1"/>
    <x v="1"/>
    <x v="1"/>
    <x v="116"/>
  </r>
  <r>
    <x v="3"/>
    <x v="12"/>
    <x v="1"/>
    <x v="1"/>
    <x v="1"/>
    <x v="175"/>
  </r>
  <r>
    <x v="3"/>
    <x v="13"/>
    <x v="1"/>
    <x v="1"/>
    <x v="1"/>
    <x v="233"/>
  </r>
  <r>
    <x v="3"/>
    <x v="14"/>
    <x v="1"/>
    <x v="1"/>
    <x v="1"/>
    <x v="175"/>
  </r>
  <r>
    <x v="3"/>
    <x v="15"/>
    <x v="1"/>
    <x v="1"/>
    <x v="1"/>
    <x v="87"/>
  </r>
  <r>
    <x v="3"/>
    <x v="16"/>
    <x v="1"/>
    <x v="1"/>
    <x v="1"/>
    <x v="352"/>
  </r>
  <r>
    <x v="3"/>
    <x v="17"/>
    <x v="1"/>
    <x v="1"/>
    <x v="1"/>
    <x v="383"/>
  </r>
  <r>
    <x v="3"/>
    <x v="18"/>
    <x v="1"/>
    <x v="1"/>
    <x v="1"/>
    <x v="330"/>
  </r>
  <r>
    <x v="3"/>
    <x v="19"/>
    <x v="1"/>
    <x v="1"/>
    <x v="1"/>
    <x v="42"/>
  </r>
  <r>
    <x v="3"/>
    <x v="20"/>
    <x v="1"/>
    <x v="1"/>
    <x v="1"/>
    <x v="93"/>
  </r>
  <r>
    <x v="3"/>
    <x v="21"/>
    <x v="1"/>
    <x v="1"/>
    <x v="1"/>
    <x v="175"/>
  </r>
  <r>
    <x v="3"/>
    <x v="22"/>
    <x v="1"/>
    <x v="1"/>
    <x v="1"/>
    <x v="50"/>
  </r>
  <r>
    <x v="3"/>
    <x v="23"/>
    <x v="1"/>
    <x v="1"/>
    <x v="1"/>
    <x v="175"/>
  </r>
  <r>
    <x v="3"/>
    <x v="24"/>
    <x v="1"/>
    <x v="1"/>
    <x v="1"/>
    <x v="73"/>
  </r>
  <r>
    <x v="3"/>
    <x v="25"/>
    <x v="1"/>
    <x v="1"/>
    <x v="1"/>
    <x v="0"/>
  </r>
  <r>
    <x v="3"/>
    <x v="26"/>
    <x v="1"/>
    <x v="1"/>
    <x v="1"/>
    <x v="384"/>
  </r>
  <r>
    <x v="3"/>
    <x v="27"/>
    <x v="1"/>
    <x v="1"/>
    <x v="1"/>
    <x v="385"/>
  </r>
  <r>
    <x v="3"/>
    <x v="28"/>
    <x v="1"/>
    <x v="1"/>
    <x v="1"/>
    <x v="386"/>
  </r>
  <r>
    <x v="3"/>
    <x v="29"/>
    <x v="1"/>
    <x v="1"/>
    <x v="1"/>
    <x v="23"/>
  </r>
  <r>
    <x v="3"/>
    <x v="30"/>
    <x v="1"/>
    <x v="1"/>
    <x v="1"/>
    <x v="387"/>
  </r>
  <r>
    <x v="3"/>
    <x v="31"/>
    <x v="1"/>
    <x v="1"/>
    <x v="1"/>
    <x v="128"/>
  </r>
  <r>
    <x v="3"/>
    <x v="32"/>
    <x v="1"/>
    <x v="1"/>
    <x v="1"/>
    <x v="141"/>
  </r>
  <r>
    <x v="3"/>
    <x v="33"/>
    <x v="1"/>
    <x v="1"/>
    <x v="1"/>
    <x v="388"/>
  </r>
  <r>
    <x v="3"/>
    <x v="34"/>
    <x v="1"/>
    <x v="1"/>
    <x v="1"/>
    <x v="193"/>
  </r>
  <r>
    <x v="3"/>
    <x v="35"/>
    <x v="1"/>
    <x v="1"/>
    <x v="1"/>
    <x v="289"/>
  </r>
  <r>
    <x v="3"/>
    <x v="36"/>
    <x v="1"/>
    <x v="1"/>
    <x v="1"/>
    <x v="87"/>
  </r>
  <r>
    <x v="3"/>
    <x v="37"/>
    <x v="1"/>
    <x v="1"/>
    <x v="1"/>
    <x v="87"/>
  </r>
  <r>
    <x v="3"/>
    <x v="38"/>
    <x v="1"/>
    <x v="1"/>
    <x v="1"/>
    <x v="129"/>
  </r>
  <r>
    <x v="3"/>
    <x v="39"/>
    <x v="1"/>
    <x v="1"/>
    <x v="1"/>
    <x v="87"/>
  </r>
  <r>
    <x v="3"/>
    <x v="40"/>
    <x v="1"/>
    <x v="1"/>
    <x v="1"/>
    <x v="87"/>
  </r>
  <r>
    <x v="3"/>
    <x v="41"/>
    <x v="1"/>
    <x v="1"/>
    <x v="1"/>
    <x v="69"/>
  </r>
  <r>
    <x v="4"/>
    <x v="42"/>
    <x v="1"/>
    <x v="1"/>
    <x v="1"/>
    <x v="230"/>
  </r>
  <r>
    <x v="4"/>
    <x v="43"/>
    <x v="1"/>
    <x v="1"/>
    <x v="1"/>
    <x v="136"/>
  </r>
  <r>
    <x v="4"/>
    <x v="44"/>
    <x v="1"/>
    <x v="1"/>
    <x v="1"/>
    <x v="116"/>
  </r>
  <r>
    <x v="4"/>
    <x v="45"/>
    <x v="1"/>
    <x v="1"/>
    <x v="1"/>
    <x v="87"/>
  </r>
  <r>
    <x v="4"/>
    <x v="46"/>
    <x v="1"/>
    <x v="1"/>
    <x v="1"/>
    <x v="231"/>
  </r>
  <r>
    <x v="4"/>
    <x v="47"/>
    <x v="1"/>
    <x v="1"/>
    <x v="1"/>
    <x v="116"/>
  </r>
  <r>
    <x v="4"/>
    <x v="48"/>
    <x v="1"/>
    <x v="1"/>
    <x v="1"/>
    <x v="196"/>
  </r>
  <r>
    <x v="4"/>
    <x v="49"/>
    <x v="1"/>
    <x v="1"/>
    <x v="1"/>
    <x v="87"/>
  </r>
  <r>
    <x v="5"/>
    <x v="50"/>
    <x v="1"/>
    <x v="1"/>
    <x v="1"/>
    <x v="168"/>
  </r>
  <r>
    <x v="5"/>
    <x v="51"/>
    <x v="1"/>
    <x v="1"/>
    <x v="1"/>
    <x v="87"/>
  </r>
  <r>
    <x v="5"/>
    <x v="52"/>
    <x v="1"/>
    <x v="1"/>
    <x v="1"/>
    <x v="87"/>
  </r>
  <r>
    <x v="5"/>
    <x v="53"/>
    <x v="1"/>
    <x v="1"/>
    <x v="1"/>
    <x v="116"/>
  </r>
  <r>
    <x v="5"/>
    <x v="54"/>
    <x v="1"/>
    <x v="1"/>
    <x v="1"/>
    <x v="87"/>
  </r>
  <r>
    <x v="5"/>
    <x v="55"/>
    <x v="1"/>
    <x v="1"/>
    <x v="1"/>
    <x v="87"/>
  </r>
  <r>
    <x v="5"/>
    <x v="56"/>
    <x v="1"/>
    <x v="1"/>
    <x v="1"/>
    <x v="87"/>
  </r>
  <r>
    <x v="5"/>
    <x v="57"/>
    <x v="1"/>
    <x v="1"/>
    <x v="1"/>
    <x v="389"/>
  </r>
  <r>
    <x v="5"/>
    <x v="58"/>
    <x v="1"/>
    <x v="1"/>
    <x v="1"/>
    <x v="57"/>
  </r>
  <r>
    <x v="5"/>
    <x v="59"/>
    <x v="1"/>
    <x v="1"/>
    <x v="1"/>
    <x v="175"/>
  </r>
  <r>
    <x v="5"/>
    <x v="60"/>
    <x v="1"/>
    <x v="1"/>
    <x v="1"/>
    <x v="204"/>
  </r>
  <r>
    <x v="5"/>
    <x v="61"/>
    <x v="1"/>
    <x v="1"/>
    <x v="1"/>
    <x v="116"/>
  </r>
  <r>
    <x v="5"/>
    <x v="62"/>
    <x v="1"/>
    <x v="1"/>
    <x v="1"/>
    <x v="87"/>
  </r>
  <r>
    <x v="5"/>
    <x v="63"/>
    <x v="1"/>
    <x v="1"/>
    <x v="1"/>
    <x v="62"/>
  </r>
  <r>
    <x v="6"/>
    <x v="64"/>
    <x v="1"/>
    <x v="1"/>
    <x v="1"/>
    <x v="74"/>
  </r>
  <r>
    <x v="6"/>
    <x v="65"/>
    <x v="1"/>
    <x v="1"/>
    <x v="1"/>
    <x v="95"/>
  </r>
  <r>
    <x v="6"/>
    <x v="66"/>
    <x v="1"/>
    <x v="1"/>
    <x v="1"/>
    <x v="236"/>
  </r>
  <r>
    <x v="6"/>
    <x v="67"/>
    <x v="1"/>
    <x v="1"/>
    <x v="1"/>
    <x v="87"/>
  </r>
  <r>
    <x v="6"/>
    <x v="68"/>
    <x v="1"/>
    <x v="1"/>
    <x v="1"/>
    <x v="390"/>
  </r>
  <r>
    <x v="6"/>
    <x v="69"/>
    <x v="1"/>
    <x v="1"/>
    <x v="1"/>
    <x v="21"/>
  </r>
  <r>
    <x v="6"/>
    <x v="70"/>
    <x v="1"/>
    <x v="1"/>
    <x v="1"/>
    <x v="220"/>
  </r>
  <r>
    <x v="6"/>
    <x v="71"/>
    <x v="1"/>
    <x v="1"/>
    <x v="1"/>
    <x v="167"/>
  </r>
  <r>
    <x v="7"/>
    <x v="72"/>
    <x v="1"/>
    <x v="1"/>
    <x v="1"/>
    <x v="175"/>
  </r>
  <r>
    <x v="7"/>
    <x v="73"/>
    <x v="1"/>
    <x v="1"/>
    <x v="1"/>
    <x v="87"/>
  </r>
  <r>
    <x v="7"/>
    <x v="74"/>
    <x v="1"/>
    <x v="1"/>
    <x v="1"/>
    <x v="87"/>
  </r>
  <r>
    <x v="7"/>
    <x v="75"/>
    <x v="1"/>
    <x v="1"/>
    <x v="1"/>
    <x v="87"/>
  </r>
  <r>
    <x v="7"/>
    <x v="76"/>
    <x v="1"/>
    <x v="1"/>
    <x v="1"/>
    <x v="175"/>
  </r>
  <r>
    <x v="7"/>
    <x v="77"/>
    <x v="1"/>
    <x v="1"/>
    <x v="1"/>
    <x v="87"/>
  </r>
  <r>
    <x v="7"/>
    <x v="78"/>
    <x v="1"/>
    <x v="1"/>
    <x v="1"/>
    <x v="170"/>
  </r>
  <r>
    <x v="7"/>
    <x v="79"/>
    <x v="1"/>
    <x v="1"/>
    <x v="1"/>
    <x v="87"/>
  </r>
  <r>
    <x v="7"/>
    <x v="80"/>
    <x v="1"/>
    <x v="1"/>
    <x v="1"/>
    <x v="175"/>
  </r>
  <r>
    <x v="7"/>
    <x v="81"/>
    <x v="1"/>
    <x v="1"/>
    <x v="1"/>
    <x v="87"/>
  </r>
  <r>
    <x v="7"/>
    <x v="82"/>
    <x v="1"/>
    <x v="1"/>
    <x v="1"/>
    <x v="87"/>
  </r>
  <r>
    <x v="8"/>
    <x v="83"/>
    <x v="1"/>
    <x v="1"/>
    <x v="1"/>
    <x v="197"/>
  </r>
  <r>
    <x v="8"/>
    <x v="84"/>
    <x v="1"/>
    <x v="1"/>
    <x v="1"/>
    <x v="87"/>
  </r>
  <r>
    <x v="8"/>
    <x v="85"/>
    <x v="1"/>
    <x v="1"/>
    <x v="1"/>
    <x v="391"/>
  </r>
  <r>
    <x v="8"/>
    <x v="86"/>
    <x v="1"/>
    <x v="1"/>
    <x v="1"/>
    <x v="40"/>
  </r>
  <r>
    <x v="8"/>
    <x v="87"/>
    <x v="1"/>
    <x v="1"/>
    <x v="1"/>
    <x v="392"/>
  </r>
  <r>
    <x v="8"/>
    <x v="88"/>
    <x v="1"/>
    <x v="1"/>
    <x v="1"/>
    <x v="69"/>
  </r>
  <r>
    <x v="9"/>
    <x v="89"/>
    <x v="1"/>
    <x v="1"/>
    <x v="1"/>
    <x v="87"/>
  </r>
  <r>
    <x v="9"/>
    <x v="90"/>
    <x v="1"/>
    <x v="1"/>
    <x v="1"/>
    <x v="69"/>
  </r>
  <r>
    <x v="9"/>
    <x v="91"/>
    <x v="1"/>
    <x v="1"/>
    <x v="1"/>
    <x v="87"/>
  </r>
  <r>
    <x v="0"/>
    <x v="0"/>
    <x v="2"/>
    <x v="0"/>
    <x v="0"/>
    <x v="393"/>
  </r>
  <r>
    <x v="0"/>
    <x v="1"/>
    <x v="2"/>
    <x v="0"/>
    <x v="0"/>
    <x v="362"/>
  </r>
  <r>
    <x v="0"/>
    <x v="2"/>
    <x v="2"/>
    <x v="0"/>
    <x v="0"/>
    <x v="74"/>
  </r>
  <r>
    <x v="0"/>
    <x v="3"/>
    <x v="2"/>
    <x v="0"/>
    <x v="0"/>
    <x v="394"/>
  </r>
  <r>
    <x v="1"/>
    <x v="4"/>
    <x v="2"/>
    <x v="0"/>
    <x v="0"/>
    <x v="395"/>
  </r>
  <r>
    <x v="1"/>
    <x v="5"/>
    <x v="2"/>
    <x v="0"/>
    <x v="0"/>
    <x v="146"/>
  </r>
  <r>
    <x v="1"/>
    <x v="6"/>
    <x v="2"/>
    <x v="0"/>
    <x v="0"/>
    <x v="396"/>
  </r>
  <r>
    <x v="2"/>
    <x v="7"/>
    <x v="2"/>
    <x v="0"/>
    <x v="0"/>
    <x v="397"/>
  </r>
  <r>
    <x v="2"/>
    <x v="8"/>
    <x v="2"/>
    <x v="0"/>
    <x v="0"/>
    <x v="398"/>
  </r>
  <r>
    <x v="3"/>
    <x v="9"/>
    <x v="2"/>
    <x v="0"/>
    <x v="0"/>
    <x v="278"/>
  </r>
  <r>
    <x v="3"/>
    <x v="10"/>
    <x v="2"/>
    <x v="0"/>
    <x v="0"/>
    <x v="274"/>
  </r>
  <r>
    <x v="3"/>
    <x v="11"/>
    <x v="2"/>
    <x v="0"/>
    <x v="0"/>
    <x v="302"/>
  </r>
  <r>
    <x v="3"/>
    <x v="12"/>
    <x v="2"/>
    <x v="0"/>
    <x v="0"/>
    <x v="145"/>
  </r>
  <r>
    <x v="3"/>
    <x v="13"/>
    <x v="2"/>
    <x v="0"/>
    <x v="0"/>
    <x v="399"/>
  </r>
  <r>
    <x v="3"/>
    <x v="14"/>
    <x v="2"/>
    <x v="0"/>
    <x v="0"/>
    <x v="42"/>
  </r>
  <r>
    <x v="3"/>
    <x v="15"/>
    <x v="2"/>
    <x v="0"/>
    <x v="0"/>
    <x v="400"/>
  </r>
  <r>
    <x v="3"/>
    <x v="16"/>
    <x v="2"/>
    <x v="0"/>
    <x v="0"/>
    <x v="401"/>
  </r>
  <r>
    <x v="3"/>
    <x v="17"/>
    <x v="2"/>
    <x v="0"/>
    <x v="0"/>
    <x v="402"/>
  </r>
  <r>
    <x v="3"/>
    <x v="18"/>
    <x v="2"/>
    <x v="0"/>
    <x v="0"/>
    <x v="403"/>
  </r>
  <r>
    <x v="3"/>
    <x v="19"/>
    <x v="2"/>
    <x v="0"/>
    <x v="0"/>
    <x v="404"/>
  </r>
  <r>
    <x v="3"/>
    <x v="20"/>
    <x v="2"/>
    <x v="0"/>
    <x v="0"/>
    <x v="82"/>
  </r>
  <r>
    <x v="3"/>
    <x v="21"/>
    <x v="2"/>
    <x v="0"/>
    <x v="0"/>
    <x v="295"/>
  </r>
  <r>
    <x v="3"/>
    <x v="22"/>
    <x v="2"/>
    <x v="0"/>
    <x v="0"/>
    <x v="405"/>
  </r>
  <r>
    <x v="3"/>
    <x v="23"/>
    <x v="2"/>
    <x v="0"/>
    <x v="0"/>
    <x v="406"/>
  </r>
  <r>
    <x v="3"/>
    <x v="24"/>
    <x v="2"/>
    <x v="0"/>
    <x v="0"/>
    <x v="407"/>
  </r>
  <r>
    <x v="3"/>
    <x v="25"/>
    <x v="2"/>
    <x v="0"/>
    <x v="0"/>
    <x v="315"/>
  </r>
  <r>
    <x v="3"/>
    <x v="26"/>
    <x v="2"/>
    <x v="0"/>
    <x v="0"/>
    <x v="408"/>
  </r>
  <r>
    <x v="3"/>
    <x v="27"/>
    <x v="2"/>
    <x v="0"/>
    <x v="0"/>
    <x v="409"/>
  </r>
  <r>
    <x v="3"/>
    <x v="28"/>
    <x v="2"/>
    <x v="0"/>
    <x v="0"/>
    <x v="410"/>
  </r>
  <r>
    <x v="3"/>
    <x v="29"/>
    <x v="2"/>
    <x v="0"/>
    <x v="0"/>
    <x v="411"/>
  </r>
  <r>
    <x v="3"/>
    <x v="30"/>
    <x v="2"/>
    <x v="0"/>
    <x v="0"/>
    <x v="412"/>
  </r>
  <r>
    <x v="3"/>
    <x v="31"/>
    <x v="2"/>
    <x v="0"/>
    <x v="0"/>
    <x v="413"/>
  </r>
  <r>
    <x v="3"/>
    <x v="32"/>
    <x v="2"/>
    <x v="0"/>
    <x v="0"/>
    <x v="414"/>
  </r>
  <r>
    <x v="3"/>
    <x v="33"/>
    <x v="2"/>
    <x v="0"/>
    <x v="0"/>
    <x v="415"/>
  </r>
  <r>
    <x v="3"/>
    <x v="34"/>
    <x v="2"/>
    <x v="0"/>
    <x v="0"/>
    <x v="416"/>
  </r>
  <r>
    <x v="3"/>
    <x v="35"/>
    <x v="2"/>
    <x v="0"/>
    <x v="0"/>
    <x v="417"/>
  </r>
  <r>
    <x v="3"/>
    <x v="36"/>
    <x v="2"/>
    <x v="0"/>
    <x v="0"/>
    <x v="70"/>
  </r>
  <r>
    <x v="3"/>
    <x v="37"/>
    <x v="2"/>
    <x v="0"/>
    <x v="0"/>
    <x v="39"/>
  </r>
  <r>
    <x v="3"/>
    <x v="38"/>
    <x v="2"/>
    <x v="0"/>
    <x v="0"/>
    <x v="418"/>
  </r>
  <r>
    <x v="3"/>
    <x v="39"/>
    <x v="2"/>
    <x v="0"/>
    <x v="0"/>
    <x v="138"/>
  </r>
  <r>
    <x v="3"/>
    <x v="40"/>
    <x v="2"/>
    <x v="0"/>
    <x v="0"/>
    <x v="419"/>
  </r>
  <r>
    <x v="3"/>
    <x v="41"/>
    <x v="2"/>
    <x v="0"/>
    <x v="0"/>
    <x v="420"/>
  </r>
  <r>
    <x v="4"/>
    <x v="42"/>
    <x v="2"/>
    <x v="0"/>
    <x v="0"/>
    <x v="421"/>
  </r>
  <r>
    <x v="4"/>
    <x v="43"/>
    <x v="2"/>
    <x v="0"/>
    <x v="0"/>
    <x v="390"/>
  </r>
  <r>
    <x v="4"/>
    <x v="44"/>
    <x v="2"/>
    <x v="0"/>
    <x v="0"/>
    <x v="42"/>
  </r>
  <r>
    <x v="4"/>
    <x v="45"/>
    <x v="2"/>
    <x v="0"/>
    <x v="0"/>
    <x v="46"/>
  </r>
  <r>
    <x v="4"/>
    <x v="46"/>
    <x v="2"/>
    <x v="0"/>
    <x v="0"/>
    <x v="123"/>
  </r>
  <r>
    <x v="4"/>
    <x v="47"/>
    <x v="2"/>
    <x v="0"/>
    <x v="0"/>
    <x v="52"/>
  </r>
  <r>
    <x v="4"/>
    <x v="48"/>
    <x v="2"/>
    <x v="0"/>
    <x v="0"/>
    <x v="422"/>
  </r>
  <r>
    <x v="4"/>
    <x v="49"/>
    <x v="2"/>
    <x v="0"/>
    <x v="0"/>
    <x v="282"/>
  </r>
  <r>
    <x v="5"/>
    <x v="50"/>
    <x v="2"/>
    <x v="0"/>
    <x v="0"/>
    <x v="423"/>
  </r>
  <r>
    <x v="5"/>
    <x v="51"/>
    <x v="2"/>
    <x v="0"/>
    <x v="0"/>
    <x v="225"/>
  </r>
  <r>
    <x v="5"/>
    <x v="52"/>
    <x v="2"/>
    <x v="0"/>
    <x v="0"/>
    <x v="424"/>
  </r>
  <r>
    <x v="5"/>
    <x v="53"/>
    <x v="2"/>
    <x v="0"/>
    <x v="0"/>
    <x v="425"/>
  </r>
  <r>
    <x v="5"/>
    <x v="54"/>
    <x v="2"/>
    <x v="0"/>
    <x v="0"/>
    <x v="148"/>
  </r>
  <r>
    <x v="5"/>
    <x v="55"/>
    <x v="2"/>
    <x v="0"/>
    <x v="0"/>
    <x v="426"/>
  </r>
  <r>
    <x v="5"/>
    <x v="56"/>
    <x v="2"/>
    <x v="0"/>
    <x v="0"/>
    <x v="100"/>
  </r>
  <r>
    <x v="5"/>
    <x v="57"/>
    <x v="2"/>
    <x v="0"/>
    <x v="0"/>
    <x v="427"/>
  </r>
  <r>
    <x v="5"/>
    <x v="58"/>
    <x v="2"/>
    <x v="0"/>
    <x v="0"/>
    <x v="224"/>
  </r>
  <r>
    <x v="5"/>
    <x v="59"/>
    <x v="2"/>
    <x v="0"/>
    <x v="0"/>
    <x v="145"/>
  </r>
  <r>
    <x v="5"/>
    <x v="60"/>
    <x v="2"/>
    <x v="0"/>
    <x v="0"/>
    <x v="428"/>
  </r>
  <r>
    <x v="5"/>
    <x v="61"/>
    <x v="2"/>
    <x v="0"/>
    <x v="0"/>
    <x v="429"/>
  </r>
  <r>
    <x v="5"/>
    <x v="62"/>
    <x v="2"/>
    <x v="0"/>
    <x v="0"/>
    <x v="327"/>
  </r>
  <r>
    <x v="5"/>
    <x v="63"/>
    <x v="2"/>
    <x v="0"/>
    <x v="0"/>
    <x v="430"/>
  </r>
  <r>
    <x v="6"/>
    <x v="64"/>
    <x v="2"/>
    <x v="0"/>
    <x v="0"/>
    <x v="101"/>
  </r>
  <r>
    <x v="6"/>
    <x v="65"/>
    <x v="2"/>
    <x v="0"/>
    <x v="0"/>
    <x v="45"/>
  </r>
  <r>
    <x v="6"/>
    <x v="66"/>
    <x v="2"/>
    <x v="0"/>
    <x v="0"/>
    <x v="431"/>
  </r>
  <r>
    <x v="6"/>
    <x v="67"/>
    <x v="2"/>
    <x v="0"/>
    <x v="0"/>
    <x v="432"/>
  </r>
  <r>
    <x v="6"/>
    <x v="68"/>
    <x v="2"/>
    <x v="0"/>
    <x v="0"/>
    <x v="433"/>
  </r>
  <r>
    <x v="6"/>
    <x v="69"/>
    <x v="2"/>
    <x v="0"/>
    <x v="0"/>
    <x v="197"/>
  </r>
  <r>
    <x v="6"/>
    <x v="70"/>
    <x v="2"/>
    <x v="0"/>
    <x v="0"/>
    <x v="434"/>
  </r>
  <r>
    <x v="6"/>
    <x v="71"/>
    <x v="2"/>
    <x v="0"/>
    <x v="0"/>
    <x v="435"/>
  </r>
  <r>
    <x v="7"/>
    <x v="72"/>
    <x v="2"/>
    <x v="0"/>
    <x v="0"/>
    <x v="95"/>
  </r>
  <r>
    <x v="7"/>
    <x v="73"/>
    <x v="2"/>
    <x v="0"/>
    <x v="0"/>
    <x v="117"/>
  </r>
  <r>
    <x v="7"/>
    <x v="74"/>
    <x v="2"/>
    <x v="0"/>
    <x v="0"/>
    <x v="43"/>
  </r>
  <r>
    <x v="7"/>
    <x v="75"/>
    <x v="2"/>
    <x v="0"/>
    <x v="0"/>
    <x v="436"/>
  </r>
  <r>
    <x v="7"/>
    <x v="76"/>
    <x v="2"/>
    <x v="0"/>
    <x v="0"/>
    <x v="91"/>
  </r>
  <r>
    <x v="7"/>
    <x v="77"/>
    <x v="2"/>
    <x v="0"/>
    <x v="0"/>
    <x v="38"/>
  </r>
  <r>
    <x v="7"/>
    <x v="78"/>
    <x v="2"/>
    <x v="0"/>
    <x v="0"/>
    <x v="231"/>
  </r>
  <r>
    <x v="7"/>
    <x v="79"/>
    <x v="2"/>
    <x v="0"/>
    <x v="0"/>
    <x v="116"/>
  </r>
  <r>
    <x v="7"/>
    <x v="80"/>
    <x v="2"/>
    <x v="0"/>
    <x v="0"/>
    <x v="437"/>
  </r>
  <r>
    <x v="7"/>
    <x v="81"/>
    <x v="2"/>
    <x v="0"/>
    <x v="0"/>
    <x v="276"/>
  </r>
  <r>
    <x v="7"/>
    <x v="82"/>
    <x v="2"/>
    <x v="0"/>
    <x v="0"/>
    <x v="131"/>
  </r>
  <r>
    <x v="8"/>
    <x v="83"/>
    <x v="2"/>
    <x v="0"/>
    <x v="0"/>
    <x v="438"/>
  </r>
  <r>
    <x v="8"/>
    <x v="84"/>
    <x v="2"/>
    <x v="0"/>
    <x v="0"/>
    <x v="371"/>
  </r>
  <r>
    <x v="8"/>
    <x v="85"/>
    <x v="2"/>
    <x v="0"/>
    <x v="0"/>
    <x v="439"/>
  </r>
  <r>
    <x v="8"/>
    <x v="86"/>
    <x v="2"/>
    <x v="0"/>
    <x v="0"/>
    <x v="440"/>
  </r>
  <r>
    <x v="8"/>
    <x v="87"/>
    <x v="2"/>
    <x v="0"/>
    <x v="0"/>
    <x v="441"/>
  </r>
  <r>
    <x v="8"/>
    <x v="88"/>
    <x v="2"/>
    <x v="0"/>
    <x v="0"/>
    <x v="442"/>
  </r>
  <r>
    <x v="9"/>
    <x v="89"/>
    <x v="2"/>
    <x v="0"/>
    <x v="0"/>
    <x v="82"/>
  </r>
  <r>
    <x v="9"/>
    <x v="90"/>
    <x v="2"/>
    <x v="0"/>
    <x v="0"/>
    <x v="443"/>
  </r>
  <r>
    <x v="9"/>
    <x v="91"/>
    <x v="2"/>
    <x v="0"/>
    <x v="0"/>
    <x v="444"/>
  </r>
  <r>
    <x v="0"/>
    <x v="0"/>
    <x v="2"/>
    <x v="0"/>
    <x v="1"/>
    <x v="445"/>
  </r>
  <r>
    <x v="0"/>
    <x v="1"/>
    <x v="2"/>
    <x v="0"/>
    <x v="1"/>
    <x v="446"/>
  </r>
  <r>
    <x v="0"/>
    <x v="2"/>
    <x v="2"/>
    <x v="0"/>
    <x v="1"/>
    <x v="170"/>
  </r>
  <r>
    <x v="0"/>
    <x v="3"/>
    <x v="2"/>
    <x v="0"/>
    <x v="1"/>
    <x v="447"/>
  </r>
  <r>
    <x v="1"/>
    <x v="4"/>
    <x v="2"/>
    <x v="0"/>
    <x v="1"/>
    <x v="448"/>
  </r>
  <r>
    <x v="1"/>
    <x v="5"/>
    <x v="2"/>
    <x v="0"/>
    <x v="1"/>
    <x v="57"/>
  </r>
  <r>
    <x v="1"/>
    <x v="6"/>
    <x v="2"/>
    <x v="0"/>
    <x v="1"/>
    <x v="2"/>
  </r>
  <r>
    <x v="2"/>
    <x v="7"/>
    <x v="2"/>
    <x v="0"/>
    <x v="1"/>
    <x v="449"/>
  </r>
  <r>
    <x v="2"/>
    <x v="8"/>
    <x v="2"/>
    <x v="0"/>
    <x v="1"/>
    <x v="450"/>
  </r>
  <r>
    <x v="3"/>
    <x v="9"/>
    <x v="2"/>
    <x v="0"/>
    <x v="1"/>
    <x v="2"/>
  </r>
  <r>
    <x v="3"/>
    <x v="10"/>
    <x v="2"/>
    <x v="0"/>
    <x v="1"/>
    <x v="167"/>
  </r>
  <r>
    <x v="3"/>
    <x v="11"/>
    <x v="2"/>
    <x v="0"/>
    <x v="1"/>
    <x v="316"/>
  </r>
  <r>
    <x v="3"/>
    <x v="12"/>
    <x v="2"/>
    <x v="0"/>
    <x v="1"/>
    <x v="204"/>
  </r>
  <r>
    <x v="3"/>
    <x v="13"/>
    <x v="2"/>
    <x v="0"/>
    <x v="1"/>
    <x v="451"/>
  </r>
  <r>
    <x v="3"/>
    <x v="14"/>
    <x v="2"/>
    <x v="0"/>
    <x v="1"/>
    <x v="57"/>
  </r>
  <r>
    <x v="3"/>
    <x v="15"/>
    <x v="2"/>
    <x v="0"/>
    <x v="1"/>
    <x v="138"/>
  </r>
  <r>
    <x v="3"/>
    <x v="16"/>
    <x v="2"/>
    <x v="0"/>
    <x v="1"/>
    <x v="452"/>
  </r>
  <r>
    <x v="3"/>
    <x v="17"/>
    <x v="2"/>
    <x v="0"/>
    <x v="1"/>
    <x v="453"/>
  </r>
  <r>
    <x v="3"/>
    <x v="18"/>
    <x v="2"/>
    <x v="0"/>
    <x v="1"/>
    <x v="301"/>
  </r>
  <r>
    <x v="3"/>
    <x v="19"/>
    <x v="2"/>
    <x v="0"/>
    <x v="1"/>
    <x v="454"/>
  </r>
  <r>
    <x v="3"/>
    <x v="20"/>
    <x v="2"/>
    <x v="0"/>
    <x v="1"/>
    <x v="128"/>
  </r>
  <r>
    <x v="3"/>
    <x v="21"/>
    <x v="2"/>
    <x v="0"/>
    <x v="1"/>
    <x v="87"/>
  </r>
  <r>
    <x v="3"/>
    <x v="22"/>
    <x v="2"/>
    <x v="0"/>
    <x v="1"/>
    <x v="455"/>
  </r>
  <r>
    <x v="3"/>
    <x v="23"/>
    <x v="2"/>
    <x v="0"/>
    <x v="1"/>
    <x v="456"/>
  </r>
  <r>
    <x v="3"/>
    <x v="24"/>
    <x v="2"/>
    <x v="0"/>
    <x v="1"/>
    <x v="391"/>
  </r>
  <r>
    <x v="3"/>
    <x v="25"/>
    <x v="2"/>
    <x v="0"/>
    <x v="1"/>
    <x v="457"/>
  </r>
  <r>
    <x v="3"/>
    <x v="26"/>
    <x v="2"/>
    <x v="0"/>
    <x v="1"/>
    <x v="458"/>
  </r>
  <r>
    <x v="3"/>
    <x v="27"/>
    <x v="2"/>
    <x v="0"/>
    <x v="1"/>
    <x v="459"/>
  </r>
  <r>
    <x v="3"/>
    <x v="28"/>
    <x v="2"/>
    <x v="0"/>
    <x v="1"/>
    <x v="460"/>
  </r>
  <r>
    <x v="3"/>
    <x v="29"/>
    <x v="2"/>
    <x v="0"/>
    <x v="1"/>
    <x v="461"/>
  </r>
  <r>
    <x v="3"/>
    <x v="30"/>
    <x v="2"/>
    <x v="0"/>
    <x v="1"/>
    <x v="462"/>
  </r>
  <r>
    <x v="3"/>
    <x v="31"/>
    <x v="2"/>
    <x v="0"/>
    <x v="1"/>
    <x v="463"/>
  </r>
  <r>
    <x v="3"/>
    <x v="32"/>
    <x v="2"/>
    <x v="0"/>
    <x v="1"/>
    <x v="464"/>
  </r>
  <r>
    <x v="3"/>
    <x v="33"/>
    <x v="2"/>
    <x v="0"/>
    <x v="1"/>
    <x v="465"/>
  </r>
  <r>
    <x v="3"/>
    <x v="34"/>
    <x v="2"/>
    <x v="0"/>
    <x v="1"/>
    <x v="466"/>
  </r>
  <r>
    <x v="3"/>
    <x v="35"/>
    <x v="2"/>
    <x v="0"/>
    <x v="1"/>
    <x v="467"/>
  </r>
  <r>
    <x v="3"/>
    <x v="36"/>
    <x v="2"/>
    <x v="0"/>
    <x v="1"/>
    <x v="21"/>
  </r>
  <r>
    <x v="3"/>
    <x v="37"/>
    <x v="2"/>
    <x v="0"/>
    <x v="1"/>
    <x v="66"/>
  </r>
  <r>
    <x v="3"/>
    <x v="38"/>
    <x v="2"/>
    <x v="0"/>
    <x v="1"/>
    <x v="468"/>
  </r>
  <r>
    <x v="3"/>
    <x v="39"/>
    <x v="2"/>
    <x v="0"/>
    <x v="1"/>
    <x v="46"/>
  </r>
  <r>
    <x v="3"/>
    <x v="40"/>
    <x v="2"/>
    <x v="0"/>
    <x v="1"/>
    <x v="469"/>
  </r>
  <r>
    <x v="3"/>
    <x v="41"/>
    <x v="2"/>
    <x v="0"/>
    <x v="1"/>
    <x v="120"/>
  </r>
  <r>
    <x v="4"/>
    <x v="42"/>
    <x v="2"/>
    <x v="0"/>
    <x v="1"/>
    <x v="470"/>
  </r>
  <r>
    <x v="4"/>
    <x v="43"/>
    <x v="2"/>
    <x v="0"/>
    <x v="1"/>
    <x v="471"/>
  </r>
  <r>
    <x v="4"/>
    <x v="44"/>
    <x v="2"/>
    <x v="0"/>
    <x v="1"/>
    <x v="472"/>
  </r>
  <r>
    <x v="4"/>
    <x v="45"/>
    <x v="2"/>
    <x v="0"/>
    <x v="1"/>
    <x v="5"/>
  </r>
  <r>
    <x v="4"/>
    <x v="46"/>
    <x v="2"/>
    <x v="0"/>
    <x v="1"/>
    <x v="56"/>
  </r>
  <r>
    <x v="4"/>
    <x v="47"/>
    <x v="2"/>
    <x v="0"/>
    <x v="1"/>
    <x v="71"/>
  </r>
  <r>
    <x v="4"/>
    <x v="48"/>
    <x v="2"/>
    <x v="0"/>
    <x v="1"/>
    <x v="473"/>
  </r>
  <r>
    <x v="4"/>
    <x v="49"/>
    <x v="2"/>
    <x v="0"/>
    <x v="1"/>
    <x v="388"/>
  </r>
  <r>
    <x v="5"/>
    <x v="50"/>
    <x v="2"/>
    <x v="0"/>
    <x v="1"/>
    <x v="474"/>
  </r>
  <r>
    <x v="5"/>
    <x v="51"/>
    <x v="2"/>
    <x v="0"/>
    <x v="1"/>
    <x v="340"/>
  </r>
  <r>
    <x v="5"/>
    <x v="52"/>
    <x v="2"/>
    <x v="0"/>
    <x v="1"/>
    <x v="475"/>
  </r>
  <r>
    <x v="5"/>
    <x v="53"/>
    <x v="2"/>
    <x v="0"/>
    <x v="1"/>
    <x v="377"/>
  </r>
  <r>
    <x v="5"/>
    <x v="54"/>
    <x v="2"/>
    <x v="0"/>
    <x v="1"/>
    <x v="197"/>
  </r>
  <r>
    <x v="5"/>
    <x v="55"/>
    <x v="2"/>
    <x v="0"/>
    <x v="1"/>
    <x v="476"/>
  </r>
  <r>
    <x v="5"/>
    <x v="56"/>
    <x v="2"/>
    <x v="0"/>
    <x v="1"/>
    <x v="477"/>
  </r>
  <r>
    <x v="5"/>
    <x v="57"/>
    <x v="2"/>
    <x v="0"/>
    <x v="1"/>
    <x v="478"/>
  </r>
  <r>
    <x v="5"/>
    <x v="58"/>
    <x v="2"/>
    <x v="0"/>
    <x v="1"/>
    <x v="479"/>
  </r>
  <r>
    <x v="5"/>
    <x v="59"/>
    <x v="2"/>
    <x v="0"/>
    <x v="1"/>
    <x v="168"/>
  </r>
  <r>
    <x v="5"/>
    <x v="60"/>
    <x v="2"/>
    <x v="0"/>
    <x v="1"/>
    <x v="480"/>
  </r>
  <r>
    <x v="5"/>
    <x v="61"/>
    <x v="2"/>
    <x v="0"/>
    <x v="1"/>
    <x v="62"/>
  </r>
  <r>
    <x v="5"/>
    <x v="62"/>
    <x v="2"/>
    <x v="0"/>
    <x v="1"/>
    <x v="60"/>
  </r>
  <r>
    <x v="5"/>
    <x v="63"/>
    <x v="2"/>
    <x v="0"/>
    <x v="1"/>
    <x v="481"/>
  </r>
  <r>
    <x v="6"/>
    <x v="64"/>
    <x v="2"/>
    <x v="0"/>
    <x v="1"/>
    <x v="71"/>
  </r>
  <r>
    <x v="6"/>
    <x v="65"/>
    <x v="2"/>
    <x v="0"/>
    <x v="1"/>
    <x v="174"/>
  </r>
  <r>
    <x v="6"/>
    <x v="66"/>
    <x v="2"/>
    <x v="0"/>
    <x v="1"/>
    <x v="482"/>
  </r>
  <r>
    <x v="6"/>
    <x v="67"/>
    <x v="2"/>
    <x v="0"/>
    <x v="1"/>
    <x v="203"/>
  </r>
  <r>
    <x v="6"/>
    <x v="68"/>
    <x v="2"/>
    <x v="0"/>
    <x v="1"/>
    <x v="483"/>
  </r>
  <r>
    <x v="6"/>
    <x v="69"/>
    <x v="2"/>
    <x v="0"/>
    <x v="1"/>
    <x v="71"/>
  </r>
  <r>
    <x v="6"/>
    <x v="70"/>
    <x v="2"/>
    <x v="0"/>
    <x v="1"/>
    <x v="484"/>
  </r>
  <r>
    <x v="6"/>
    <x v="71"/>
    <x v="2"/>
    <x v="0"/>
    <x v="1"/>
    <x v="485"/>
  </r>
  <r>
    <x v="7"/>
    <x v="72"/>
    <x v="2"/>
    <x v="0"/>
    <x v="1"/>
    <x v="44"/>
  </r>
  <r>
    <x v="7"/>
    <x v="73"/>
    <x v="2"/>
    <x v="0"/>
    <x v="1"/>
    <x v="236"/>
  </r>
  <r>
    <x v="7"/>
    <x v="74"/>
    <x v="2"/>
    <x v="0"/>
    <x v="1"/>
    <x v="92"/>
  </r>
  <r>
    <x v="7"/>
    <x v="75"/>
    <x v="2"/>
    <x v="0"/>
    <x v="1"/>
    <x v="486"/>
  </r>
  <r>
    <x v="7"/>
    <x v="76"/>
    <x v="2"/>
    <x v="0"/>
    <x v="1"/>
    <x v="70"/>
  </r>
  <r>
    <x v="7"/>
    <x v="77"/>
    <x v="2"/>
    <x v="0"/>
    <x v="1"/>
    <x v="230"/>
  </r>
  <r>
    <x v="7"/>
    <x v="78"/>
    <x v="2"/>
    <x v="0"/>
    <x v="1"/>
    <x v="231"/>
  </r>
  <r>
    <x v="7"/>
    <x v="79"/>
    <x v="2"/>
    <x v="0"/>
    <x v="1"/>
    <x v="116"/>
  </r>
  <r>
    <x v="7"/>
    <x v="80"/>
    <x v="2"/>
    <x v="0"/>
    <x v="1"/>
    <x v="146"/>
  </r>
  <r>
    <x v="7"/>
    <x v="81"/>
    <x v="2"/>
    <x v="0"/>
    <x v="1"/>
    <x v="49"/>
  </r>
  <r>
    <x v="7"/>
    <x v="82"/>
    <x v="2"/>
    <x v="0"/>
    <x v="1"/>
    <x v="374"/>
  </r>
  <r>
    <x v="8"/>
    <x v="83"/>
    <x v="2"/>
    <x v="0"/>
    <x v="1"/>
    <x v="186"/>
  </r>
  <r>
    <x v="8"/>
    <x v="84"/>
    <x v="2"/>
    <x v="0"/>
    <x v="1"/>
    <x v="487"/>
  </r>
  <r>
    <x v="8"/>
    <x v="85"/>
    <x v="2"/>
    <x v="0"/>
    <x v="1"/>
    <x v="488"/>
  </r>
  <r>
    <x v="8"/>
    <x v="86"/>
    <x v="2"/>
    <x v="0"/>
    <x v="1"/>
    <x v="489"/>
  </r>
  <r>
    <x v="8"/>
    <x v="87"/>
    <x v="2"/>
    <x v="0"/>
    <x v="1"/>
    <x v="490"/>
  </r>
  <r>
    <x v="8"/>
    <x v="88"/>
    <x v="2"/>
    <x v="0"/>
    <x v="1"/>
    <x v="491"/>
  </r>
  <r>
    <x v="9"/>
    <x v="89"/>
    <x v="2"/>
    <x v="0"/>
    <x v="1"/>
    <x v="158"/>
  </r>
  <r>
    <x v="9"/>
    <x v="90"/>
    <x v="2"/>
    <x v="0"/>
    <x v="1"/>
    <x v="229"/>
  </r>
  <r>
    <x v="9"/>
    <x v="91"/>
    <x v="2"/>
    <x v="0"/>
    <x v="1"/>
    <x v="492"/>
  </r>
  <r>
    <x v="0"/>
    <x v="0"/>
    <x v="2"/>
    <x v="1"/>
    <x v="0"/>
    <x v="92"/>
  </r>
  <r>
    <x v="0"/>
    <x v="1"/>
    <x v="2"/>
    <x v="1"/>
    <x v="0"/>
    <x v="493"/>
  </r>
  <r>
    <x v="0"/>
    <x v="2"/>
    <x v="2"/>
    <x v="1"/>
    <x v="0"/>
    <x v="494"/>
  </r>
  <r>
    <x v="0"/>
    <x v="3"/>
    <x v="2"/>
    <x v="1"/>
    <x v="0"/>
    <x v="495"/>
  </r>
  <r>
    <x v="1"/>
    <x v="4"/>
    <x v="2"/>
    <x v="1"/>
    <x v="0"/>
    <x v="496"/>
  </r>
  <r>
    <x v="1"/>
    <x v="5"/>
    <x v="2"/>
    <x v="1"/>
    <x v="0"/>
    <x v="87"/>
  </r>
  <r>
    <x v="1"/>
    <x v="6"/>
    <x v="2"/>
    <x v="1"/>
    <x v="0"/>
    <x v="44"/>
  </r>
  <r>
    <x v="2"/>
    <x v="7"/>
    <x v="2"/>
    <x v="1"/>
    <x v="0"/>
    <x v="497"/>
  </r>
  <r>
    <x v="2"/>
    <x v="8"/>
    <x v="2"/>
    <x v="1"/>
    <x v="0"/>
    <x v="450"/>
  </r>
  <r>
    <x v="3"/>
    <x v="9"/>
    <x v="2"/>
    <x v="1"/>
    <x v="0"/>
    <x v="145"/>
  </r>
  <r>
    <x v="3"/>
    <x v="10"/>
    <x v="2"/>
    <x v="1"/>
    <x v="0"/>
    <x v="170"/>
  </r>
  <r>
    <x v="3"/>
    <x v="11"/>
    <x v="2"/>
    <x v="1"/>
    <x v="0"/>
    <x v="295"/>
  </r>
  <r>
    <x v="3"/>
    <x v="12"/>
    <x v="2"/>
    <x v="1"/>
    <x v="0"/>
    <x v="87"/>
  </r>
  <r>
    <x v="3"/>
    <x v="13"/>
    <x v="2"/>
    <x v="1"/>
    <x v="0"/>
    <x v="301"/>
  </r>
  <r>
    <x v="3"/>
    <x v="14"/>
    <x v="2"/>
    <x v="1"/>
    <x v="0"/>
    <x v="87"/>
  </r>
  <r>
    <x v="3"/>
    <x v="15"/>
    <x v="2"/>
    <x v="1"/>
    <x v="0"/>
    <x v="74"/>
  </r>
  <r>
    <x v="3"/>
    <x v="16"/>
    <x v="2"/>
    <x v="1"/>
    <x v="0"/>
    <x v="349"/>
  </r>
  <r>
    <x v="3"/>
    <x v="17"/>
    <x v="2"/>
    <x v="1"/>
    <x v="0"/>
    <x v="498"/>
  </r>
  <r>
    <x v="3"/>
    <x v="18"/>
    <x v="2"/>
    <x v="1"/>
    <x v="0"/>
    <x v="499"/>
  </r>
  <r>
    <x v="3"/>
    <x v="19"/>
    <x v="2"/>
    <x v="1"/>
    <x v="0"/>
    <x v="500"/>
  </r>
  <r>
    <x v="3"/>
    <x v="20"/>
    <x v="2"/>
    <x v="1"/>
    <x v="0"/>
    <x v="501"/>
  </r>
  <r>
    <x v="3"/>
    <x v="21"/>
    <x v="2"/>
    <x v="1"/>
    <x v="0"/>
    <x v="87"/>
  </r>
  <r>
    <x v="3"/>
    <x v="22"/>
    <x v="2"/>
    <x v="1"/>
    <x v="0"/>
    <x v="502"/>
  </r>
  <r>
    <x v="3"/>
    <x v="23"/>
    <x v="2"/>
    <x v="1"/>
    <x v="0"/>
    <x v="316"/>
  </r>
  <r>
    <x v="3"/>
    <x v="24"/>
    <x v="2"/>
    <x v="1"/>
    <x v="0"/>
    <x v="503"/>
  </r>
  <r>
    <x v="3"/>
    <x v="25"/>
    <x v="2"/>
    <x v="1"/>
    <x v="0"/>
    <x v="504"/>
  </r>
  <r>
    <x v="3"/>
    <x v="26"/>
    <x v="2"/>
    <x v="1"/>
    <x v="0"/>
    <x v="505"/>
  </r>
  <r>
    <x v="3"/>
    <x v="27"/>
    <x v="2"/>
    <x v="1"/>
    <x v="0"/>
    <x v="506"/>
  </r>
  <r>
    <x v="3"/>
    <x v="28"/>
    <x v="2"/>
    <x v="1"/>
    <x v="0"/>
    <x v="507"/>
  </r>
  <r>
    <x v="3"/>
    <x v="29"/>
    <x v="2"/>
    <x v="1"/>
    <x v="0"/>
    <x v="508"/>
  </r>
  <r>
    <x v="3"/>
    <x v="30"/>
    <x v="2"/>
    <x v="1"/>
    <x v="0"/>
    <x v="509"/>
  </r>
  <r>
    <x v="3"/>
    <x v="31"/>
    <x v="2"/>
    <x v="1"/>
    <x v="0"/>
    <x v="510"/>
  </r>
  <r>
    <x v="3"/>
    <x v="32"/>
    <x v="2"/>
    <x v="1"/>
    <x v="0"/>
    <x v="22"/>
  </r>
  <r>
    <x v="3"/>
    <x v="33"/>
    <x v="2"/>
    <x v="1"/>
    <x v="0"/>
    <x v="511"/>
  </r>
  <r>
    <x v="3"/>
    <x v="34"/>
    <x v="2"/>
    <x v="1"/>
    <x v="0"/>
    <x v="452"/>
  </r>
  <r>
    <x v="3"/>
    <x v="35"/>
    <x v="2"/>
    <x v="1"/>
    <x v="0"/>
    <x v="512"/>
  </r>
  <r>
    <x v="3"/>
    <x v="36"/>
    <x v="2"/>
    <x v="1"/>
    <x v="0"/>
    <x v="87"/>
  </r>
  <r>
    <x v="3"/>
    <x v="37"/>
    <x v="2"/>
    <x v="1"/>
    <x v="0"/>
    <x v="66"/>
  </r>
  <r>
    <x v="3"/>
    <x v="38"/>
    <x v="2"/>
    <x v="1"/>
    <x v="0"/>
    <x v="513"/>
  </r>
  <r>
    <x v="3"/>
    <x v="39"/>
    <x v="2"/>
    <x v="1"/>
    <x v="0"/>
    <x v="116"/>
  </r>
  <r>
    <x v="3"/>
    <x v="40"/>
    <x v="2"/>
    <x v="1"/>
    <x v="0"/>
    <x v="168"/>
  </r>
  <r>
    <x v="3"/>
    <x v="41"/>
    <x v="2"/>
    <x v="1"/>
    <x v="0"/>
    <x v="183"/>
  </r>
  <r>
    <x v="4"/>
    <x v="42"/>
    <x v="2"/>
    <x v="1"/>
    <x v="0"/>
    <x v="514"/>
  </r>
  <r>
    <x v="4"/>
    <x v="43"/>
    <x v="2"/>
    <x v="1"/>
    <x v="0"/>
    <x v="175"/>
  </r>
  <r>
    <x v="4"/>
    <x v="44"/>
    <x v="2"/>
    <x v="1"/>
    <x v="0"/>
    <x v="10"/>
  </r>
  <r>
    <x v="4"/>
    <x v="45"/>
    <x v="2"/>
    <x v="1"/>
    <x v="0"/>
    <x v="116"/>
  </r>
  <r>
    <x v="4"/>
    <x v="46"/>
    <x v="2"/>
    <x v="1"/>
    <x v="0"/>
    <x v="515"/>
  </r>
  <r>
    <x v="4"/>
    <x v="47"/>
    <x v="2"/>
    <x v="1"/>
    <x v="0"/>
    <x v="95"/>
  </r>
  <r>
    <x v="4"/>
    <x v="48"/>
    <x v="2"/>
    <x v="1"/>
    <x v="0"/>
    <x v="516"/>
  </r>
  <r>
    <x v="4"/>
    <x v="49"/>
    <x v="2"/>
    <x v="1"/>
    <x v="0"/>
    <x v="93"/>
  </r>
  <r>
    <x v="5"/>
    <x v="50"/>
    <x v="2"/>
    <x v="1"/>
    <x v="0"/>
    <x v="2"/>
  </r>
  <r>
    <x v="5"/>
    <x v="51"/>
    <x v="2"/>
    <x v="1"/>
    <x v="0"/>
    <x v="517"/>
  </r>
  <r>
    <x v="5"/>
    <x v="52"/>
    <x v="2"/>
    <x v="1"/>
    <x v="0"/>
    <x v="209"/>
  </r>
  <r>
    <x v="5"/>
    <x v="53"/>
    <x v="2"/>
    <x v="1"/>
    <x v="0"/>
    <x v="93"/>
  </r>
  <r>
    <x v="5"/>
    <x v="54"/>
    <x v="2"/>
    <x v="1"/>
    <x v="0"/>
    <x v="168"/>
  </r>
  <r>
    <x v="5"/>
    <x v="55"/>
    <x v="2"/>
    <x v="1"/>
    <x v="0"/>
    <x v="46"/>
  </r>
  <r>
    <x v="5"/>
    <x v="56"/>
    <x v="2"/>
    <x v="1"/>
    <x v="0"/>
    <x v="175"/>
  </r>
  <r>
    <x v="5"/>
    <x v="57"/>
    <x v="2"/>
    <x v="1"/>
    <x v="0"/>
    <x v="388"/>
  </r>
  <r>
    <x v="5"/>
    <x v="58"/>
    <x v="2"/>
    <x v="1"/>
    <x v="0"/>
    <x v="116"/>
  </r>
  <r>
    <x v="5"/>
    <x v="59"/>
    <x v="2"/>
    <x v="1"/>
    <x v="0"/>
    <x v="175"/>
  </r>
  <r>
    <x v="5"/>
    <x v="60"/>
    <x v="2"/>
    <x v="1"/>
    <x v="0"/>
    <x v="518"/>
  </r>
  <r>
    <x v="5"/>
    <x v="61"/>
    <x v="2"/>
    <x v="1"/>
    <x v="0"/>
    <x v="149"/>
  </r>
  <r>
    <x v="5"/>
    <x v="62"/>
    <x v="2"/>
    <x v="1"/>
    <x v="0"/>
    <x v="117"/>
  </r>
  <r>
    <x v="5"/>
    <x v="63"/>
    <x v="2"/>
    <x v="1"/>
    <x v="0"/>
    <x v="519"/>
  </r>
  <r>
    <x v="6"/>
    <x v="64"/>
    <x v="2"/>
    <x v="1"/>
    <x v="0"/>
    <x v="10"/>
  </r>
  <r>
    <x v="6"/>
    <x v="65"/>
    <x v="2"/>
    <x v="1"/>
    <x v="0"/>
    <x v="242"/>
  </r>
  <r>
    <x v="6"/>
    <x v="66"/>
    <x v="2"/>
    <x v="1"/>
    <x v="0"/>
    <x v="520"/>
  </r>
  <r>
    <x v="6"/>
    <x v="67"/>
    <x v="2"/>
    <x v="1"/>
    <x v="0"/>
    <x v="69"/>
  </r>
  <r>
    <x v="6"/>
    <x v="68"/>
    <x v="2"/>
    <x v="1"/>
    <x v="0"/>
    <x v="521"/>
  </r>
  <r>
    <x v="6"/>
    <x v="69"/>
    <x v="2"/>
    <x v="1"/>
    <x v="0"/>
    <x v="57"/>
  </r>
  <r>
    <x v="6"/>
    <x v="70"/>
    <x v="2"/>
    <x v="1"/>
    <x v="0"/>
    <x v="133"/>
  </r>
  <r>
    <x v="6"/>
    <x v="71"/>
    <x v="2"/>
    <x v="1"/>
    <x v="0"/>
    <x v="203"/>
  </r>
  <r>
    <x v="7"/>
    <x v="72"/>
    <x v="2"/>
    <x v="1"/>
    <x v="0"/>
    <x v="87"/>
  </r>
  <r>
    <x v="7"/>
    <x v="73"/>
    <x v="2"/>
    <x v="1"/>
    <x v="0"/>
    <x v="170"/>
  </r>
  <r>
    <x v="7"/>
    <x v="74"/>
    <x v="2"/>
    <x v="1"/>
    <x v="0"/>
    <x v="74"/>
  </r>
  <r>
    <x v="7"/>
    <x v="75"/>
    <x v="2"/>
    <x v="1"/>
    <x v="0"/>
    <x v="15"/>
  </r>
  <r>
    <x v="7"/>
    <x v="76"/>
    <x v="2"/>
    <x v="1"/>
    <x v="0"/>
    <x v="168"/>
  </r>
  <r>
    <x v="7"/>
    <x v="77"/>
    <x v="2"/>
    <x v="1"/>
    <x v="0"/>
    <x v="70"/>
  </r>
  <r>
    <x v="7"/>
    <x v="78"/>
    <x v="2"/>
    <x v="1"/>
    <x v="0"/>
    <x v="170"/>
  </r>
  <r>
    <x v="7"/>
    <x v="79"/>
    <x v="2"/>
    <x v="1"/>
    <x v="0"/>
    <x v="87"/>
  </r>
  <r>
    <x v="7"/>
    <x v="80"/>
    <x v="2"/>
    <x v="1"/>
    <x v="0"/>
    <x v="136"/>
  </r>
  <r>
    <x v="7"/>
    <x v="81"/>
    <x v="2"/>
    <x v="1"/>
    <x v="0"/>
    <x v="9"/>
  </r>
  <r>
    <x v="7"/>
    <x v="82"/>
    <x v="2"/>
    <x v="1"/>
    <x v="0"/>
    <x v="148"/>
  </r>
  <r>
    <x v="8"/>
    <x v="83"/>
    <x v="2"/>
    <x v="1"/>
    <x v="0"/>
    <x v="522"/>
  </r>
  <r>
    <x v="8"/>
    <x v="84"/>
    <x v="2"/>
    <x v="1"/>
    <x v="0"/>
    <x v="204"/>
  </r>
  <r>
    <x v="8"/>
    <x v="85"/>
    <x v="2"/>
    <x v="1"/>
    <x v="0"/>
    <x v="523"/>
  </r>
  <r>
    <x v="8"/>
    <x v="86"/>
    <x v="2"/>
    <x v="1"/>
    <x v="0"/>
    <x v="15"/>
  </r>
  <r>
    <x v="8"/>
    <x v="87"/>
    <x v="2"/>
    <x v="1"/>
    <x v="0"/>
    <x v="524"/>
  </r>
  <r>
    <x v="8"/>
    <x v="88"/>
    <x v="2"/>
    <x v="1"/>
    <x v="0"/>
    <x v="525"/>
  </r>
  <r>
    <x v="9"/>
    <x v="89"/>
    <x v="2"/>
    <x v="1"/>
    <x v="0"/>
    <x v="209"/>
  </r>
  <r>
    <x v="9"/>
    <x v="90"/>
    <x v="2"/>
    <x v="1"/>
    <x v="0"/>
    <x v="67"/>
  </r>
  <r>
    <x v="9"/>
    <x v="91"/>
    <x v="2"/>
    <x v="1"/>
    <x v="0"/>
    <x v="437"/>
  </r>
  <r>
    <x v="0"/>
    <x v="0"/>
    <x v="2"/>
    <x v="1"/>
    <x v="1"/>
    <x v="136"/>
  </r>
  <r>
    <x v="0"/>
    <x v="1"/>
    <x v="2"/>
    <x v="1"/>
    <x v="1"/>
    <x v="526"/>
  </r>
  <r>
    <x v="0"/>
    <x v="2"/>
    <x v="2"/>
    <x v="1"/>
    <x v="1"/>
    <x v="527"/>
  </r>
  <r>
    <x v="0"/>
    <x v="3"/>
    <x v="2"/>
    <x v="1"/>
    <x v="1"/>
    <x v="528"/>
  </r>
  <r>
    <x v="1"/>
    <x v="4"/>
    <x v="2"/>
    <x v="1"/>
    <x v="1"/>
    <x v="529"/>
  </r>
  <r>
    <x v="1"/>
    <x v="5"/>
    <x v="2"/>
    <x v="1"/>
    <x v="1"/>
    <x v="87"/>
  </r>
  <r>
    <x v="1"/>
    <x v="6"/>
    <x v="2"/>
    <x v="1"/>
    <x v="1"/>
    <x v="175"/>
  </r>
  <r>
    <x v="2"/>
    <x v="7"/>
    <x v="2"/>
    <x v="1"/>
    <x v="1"/>
    <x v="517"/>
  </r>
  <r>
    <x v="2"/>
    <x v="8"/>
    <x v="2"/>
    <x v="1"/>
    <x v="1"/>
    <x v="445"/>
  </r>
  <r>
    <x v="3"/>
    <x v="9"/>
    <x v="2"/>
    <x v="1"/>
    <x v="1"/>
    <x v="136"/>
  </r>
  <r>
    <x v="3"/>
    <x v="10"/>
    <x v="2"/>
    <x v="1"/>
    <x v="1"/>
    <x v="175"/>
  </r>
  <r>
    <x v="3"/>
    <x v="11"/>
    <x v="2"/>
    <x v="1"/>
    <x v="1"/>
    <x v="21"/>
  </r>
  <r>
    <x v="3"/>
    <x v="12"/>
    <x v="2"/>
    <x v="1"/>
    <x v="1"/>
    <x v="175"/>
  </r>
  <r>
    <x v="3"/>
    <x v="13"/>
    <x v="2"/>
    <x v="1"/>
    <x v="1"/>
    <x v="389"/>
  </r>
  <r>
    <x v="3"/>
    <x v="14"/>
    <x v="2"/>
    <x v="1"/>
    <x v="1"/>
    <x v="175"/>
  </r>
  <r>
    <x v="3"/>
    <x v="15"/>
    <x v="2"/>
    <x v="1"/>
    <x v="1"/>
    <x v="87"/>
  </r>
  <r>
    <x v="3"/>
    <x v="16"/>
    <x v="2"/>
    <x v="1"/>
    <x v="1"/>
    <x v="530"/>
  </r>
  <r>
    <x v="3"/>
    <x v="17"/>
    <x v="2"/>
    <x v="1"/>
    <x v="1"/>
    <x v="531"/>
  </r>
  <r>
    <x v="3"/>
    <x v="18"/>
    <x v="2"/>
    <x v="1"/>
    <x v="1"/>
    <x v="20"/>
  </r>
  <r>
    <x v="3"/>
    <x v="19"/>
    <x v="2"/>
    <x v="1"/>
    <x v="1"/>
    <x v="11"/>
  </r>
  <r>
    <x v="3"/>
    <x v="20"/>
    <x v="2"/>
    <x v="1"/>
    <x v="1"/>
    <x v="5"/>
  </r>
  <r>
    <x v="3"/>
    <x v="21"/>
    <x v="2"/>
    <x v="1"/>
    <x v="1"/>
    <x v="87"/>
  </r>
  <r>
    <x v="3"/>
    <x v="22"/>
    <x v="2"/>
    <x v="1"/>
    <x v="1"/>
    <x v="160"/>
  </r>
  <r>
    <x v="3"/>
    <x v="23"/>
    <x v="2"/>
    <x v="1"/>
    <x v="1"/>
    <x v="87"/>
  </r>
  <r>
    <x v="3"/>
    <x v="24"/>
    <x v="2"/>
    <x v="1"/>
    <x v="1"/>
    <x v="73"/>
  </r>
  <r>
    <x v="3"/>
    <x v="25"/>
    <x v="2"/>
    <x v="1"/>
    <x v="1"/>
    <x v="532"/>
  </r>
  <r>
    <x v="3"/>
    <x v="26"/>
    <x v="2"/>
    <x v="1"/>
    <x v="1"/>
    <x v="289"/>
  </r>
  <r>
    <x v="3"/>
    <x v="27"/>
    <x v="2"/>
    <x v="1"/>
    <x v="1"/>
    <x v="533"/>
  </r>
  <r>
    <x v="3"/>
    <x v="28"/>
    <x v="2"/>
    <x v="1"/>
    <x v="1"/>
    <x v="534"/>
  </r>
  <r>
    <x v="3"/>
    <x v="29"/>
    <x v="2"/>
    <x v="1"/>
    <x v="1"/>
    <x v="535"/>
  </r>
  <r>
    <x v="3"/>
    <x v="30"/>
    <x v="2"/>
    <x v="1"/>
    <x v="1"/>
    <x v="390"/>
  </r>
  <r>
    <x v="3"/>
    <x v="31"/>
    <x v="2"/>
    <x v="1"/>
    <x v="1"/>
    <x v="302"/>
  </r>
  <r>
    <x v="3"/>
    <x v="32"/>
    <x v="2"/>
    <x v="1"/>
    <x v="1"/>
    <x v="536"/>
  </r>
  <r>
    <x v="3"/>
    <x v="33"/>
    <x v="2"/>
    <x v="1"/>
    <x v="1"/>
    <x v="537"/>
  </r>
  <r>
    <x v="3"/>
    <x v="34"/>
    <x v="2"/>
    <x v="1"/>
    <x v="1"/>
    <x v="48"/>
  </r>
  <r>
    <x v="3"/>
    <x v="35"/>
    <x v="2"/>
    <x v="1"/>
    <x v="1"/>
    <x v="40"/>
  </r>
  <r>
    <x v="3"/>
    <x v="36"/>
    <x v="2"/>
    <x v="1"/>
    <x v="1"/>
    <x v="87"/>
  </r>
  <r>
    <x v="3"/>
    <x v="37"/>
    <x v="2"/>
    <x v="1"/>
    <x v="1"/>
    <x v="87"/>
  </r>
  <r>
    <x v="3"/>
    <x v="38"/>
    <x v="2"/>
    <x v="1"/>
    <x v="1"/>
    <x v="424"/>
  </r>
  <r>
    <x v="3"/>
    <x v="39"/>
    <x v="2"/>
    <x v="1"/>
    <x v="1"/>
    <x v="87"/>
  </r>
  <r>
    <x v="3"/>
    <x v="40"/>
    <x v="2"/>
    <x v="1"/>
    <x v="1"/>
    <x v="87"/>
  </r>
  <r>
    <x v="3"/>
    <x v="41"/>
    <x v="2"/>
    <x v="1"/>
    <x v="1"/>
    <x v="168"/>
  </r>
  <r>
    <x v="4"/>
    <x v="42"/>
    <x v="2"/>
    <x v="1"/>
    <x v="1"/>
    <x v="10"/>
  </r>
  <r>
    <x v="4"/>
    <x v="43"/>
    <x v="2"/>
    <x v="1"/>
    <x v="1"/>
    <x v="175"/>
  </r>
  <r>
    <x v="4"/>
    <x v="44"/>
    <x v="2"/>
    <x v="1"/>
    <x v="1"/>
    <x v="87"/>
  </r>
  <r>
    <x v="4"/>
    <x v="45"/>
    <x v="2"/>
    <x v="1"/>
    <x v="1"/>
    <x v="87"/>
  </r>
  <r>
    <x v="4"/>
    <x v="46"/>
    <x v="2"/>
    <x v="1"/>
    <x v="1"/>
    <x v="117"/>
  </r>
  <r>
    <x v="4"/>
    <x v="47"/>
    <x v="2"/>
    <x v="1"/>
    <x v="1"/>
    <x v="21"/>
  </r>
  <r>
    <x v="4"/>
    <x v="48"/>
    <x v="2"/>
    <x v="1"/>
    <x v="1"/>
    <x v="538"/>
  </r>
  <r>
    <x v="4"/>
    <x v="49"/>
    <x v="2"/>
    <x v="1"/>
    <x v="1"/>
    <x v="87"/>
  </r>
  <r>
    <x v="5"/>
    <x v="50"/>
    <x v="2"/>
    <x v="1"/>
    <x v="1"/>
    <x v="168"/>
  </r>
  <r>
    <x v="5"/>
    <x v="51"/>
    <x v="2"/>
    <x v="1"/>
    <x v="1"/>
    <x v="136"/>
  </r>
  <r>
    <x v="5"/>
    <x v="52"/>
    <x v="2"/>
    <x v="1"/>
    <x v="1"/>
    <x v="87"/>
  </r>
  <r>
    <x v="5"/>
    <x v="53"/>
    <x v="2"/>
    <x v="1"/>
    <x v="1"/>
    <x v="87"/>
  </r>
  <r>
    <x v="5"/>
    <x v="54"/>
    <x v="2"/>
    <x v="1"/>
    <x v="1"/>
    <x v="136"/>
  </r>
  <r>
    <x v="5"/>
    <x v="55"/>
    <x v="2"/>
    <x v="1"/>
    <x v="1"/>
    <x v="87"/>
  </r>
  <r>
    <x v="5"/>
    <x v="56"/>
    <x v="2"/>
    <x v="1"/>
    <x v="1"/>
    <x v="175"/>
  </r>
  <r>
    <x v="5"/>
    <x v="57"/>
    <x v="2"/>
    <x v="1"/>
    <x v="1"/>
    <x v="73"/>
  </r>
  <r>
    <x v="5"/>
    <x v="58"/>
    <x v="2"/>
    <x v="1"/>
    <x v="1"/>
    <x v="57"/>
  </r>
  <r>
    <x v="5"/>
    <x v="59"/>
    <x v="2"/>
    <x v="1"/>
    <x v="1"/>
    <x v="175"/>
  </r>
  <r>
    <x v="5"/>
    <x v="60"/>
    <x v="2"/>
    <x v="1"/>
    <x v="1"/>
    <x v="204"/>
  </r>
  <r>
    <x v="5"/>
    <x v="61"/>
    <x v="2"/>
    <x v="1"/>
    <x v="1"/>
    <x v="192"/>
  </r>
  <r>
    <x v="5"/>
    <x v="62"/>
    <x v="2"/>
    <x v="1"/>
    <x v="1"/>
    <x v="87"/>
  </r>
  <r>
    <x v="5"/>
    <x v="63"/>
    <x v="2"/>
    <x v="1"/>
    <x v="1"/>
    <x v="331"/>
  </r>
  <r>
    <x v="6"/>
    <x v="64"/>
    <x v="2"/>
    <x v="1"/>
    <x v="1"/>
    <x v="167"/>
  </r>
  <r>
    <x v="6"/>
    <x v="65"/>
    <x v="2"/>
    <x v="1"/>
    <x v="1"/>
    <x v="95"/>
  </r>
  <r>
    <x v="6"/>
    <x v="66"/>
    <x v="2"/>
    <x v="1"/>
    <x v="1"/>
    <x v="74"/>
  </r>
  <r>
    <x v="6"/>
    <x v="67"/>
    <x v="2"/>
    <x v="1"/>
    <x v="1"/>
    <x v="87"/>
  </r>
  <r>
    <x v="6"/>
    <x v="68"/>
    <x v="2"/>
    <x v="1"/>
    <x v="1"/>
    <x v="432"/>
  </r>
  <r>
    <x v="6"/>
    <x v="69"/>
    <x v="2"/>
    <x v="1"/>
    <x v="1"/>
    <x v="116"/>
  </r>
  <r>
    <x v="6"/>
    <x v="70"/>
    <x v="2"/>
    <x v="1"/>
    <x v="1"/>
    <x v="214"/>
  </r>
  <r>
    <x v="6"/>
    <x v="71"/>
    <x v="2"/>
    <x v="1"/>
    <x v="1"/>
    <x v="145"/>
  </r>
  <r>
    <x v="7"/>
    <x v="72"/>
    <x v="2"/>
    <x v="1"/>
    <x v="1"/>
    <x v="87"/>
  </r>
  <r>
    <x v="7"/>
    <x v="73"/>
    <x v="2"/>
    <x v="1"/>
    <x v="1"/>
    <x v="175"/>
  </r>
  <r>
    <x v="7"/>
    <x v="74"/>
    <x v="2"/>
    <x v="1"/>
    <x v="1"/>
    <x v="87"/>
  </r>
  <r>
    <x v="7"/>
    <x v="75"/>
    <x v="2"/>
    <x v="1"/>
    <x v="1"/>
    <x v="87"/>
  </r>
  <r>
    <x v="7"/>
    <x v="76"/>
    <x v="2"/>
    <x v="1"/>
    <x v="1"/>
    <x v="175"/>
  </r>
  <r>
    <x v="7"/>
    <x v="77"/>
    <x v="2"/>
    <x v="1"/>
    <x v="1"/>
    <x v="136"/>
  </r>
  <r>
    <x v="7"/>
    <x v="78"/>
    <x v="2"/>
    <x v="1"/>
    <x v="1"/>
    <x v="170"/>
  </r>
  <r>
    <x v="7"/>
    <x v="79"/>
    <x v="2"/>
    <x v="1"/>
    <x v="1"/>
    <x v="87"/>
  </r>
  <r>
    <x v="7"/>
    <x v="80"/>
    <x v="2"/>
    <x v="1"/>
    <x v="1"/>
    <x v="175"/>
  </r>
  <r>
    <x v="7"/>
    <x v="81"/>
    <x v="2"/>
    <x v="1"/>
    <x v="1"/>
    <x v="69"/>
  </r>
  <r>
    <x v="7"/>
    <x v="82"/>
    <x v="2"/>
    <x v="1"/>
    <x v="1"/>
    <x v="170"/>
  </r>
  <r>
    <x v="8"/>
    <x v="83"/>
    <x v="2"/>
    <x v="1"/>
    <x v="1"/>
    <x v="539"/>
  </r>
  <r>
    <x v="8"/>
    <x v="84"/>
    <x v="2"/>
    <x v="1"/>
    <x v="1"/>
    <x v="87"/>
  </r>
  <r>
    <x v="8"/>
    <x v="85"/>
    <x v="2"/>
    <x v="1"/>
    <x v="1"/>
    <x v="540"/>
  </r>
  <r>
    <x v="8"/>
    <x v="86"/>
    <x v="2"/>
    <x v="1"/>
    <x v="1"/>
    <x v="541"/>
  </r>
  <r>
    <x v="8"/>
    <x v="87"/>
    <x v="2"/>
    <x v="1"/>
    <x v="1"/>
    <x v="277"/>
  </r>
  <r>
    <x v="8"/>
    <x v="88"/>
    <x v="2"/>
    <x v="1"/>
    <x v="1"/>
    <x v="74"/>
  </r>
  <r>
    <x v="9"/>
    <x v="89"/>
    <x v="2"/>
    <x v="1"/>
    <x v="1"/>
    <x v="87"/>
  </r>
  <r>
    <x v="9"/>
    <x v="90"/>
    <x v="2"/>
    <x v="1"/>
    <x v="1"/>
    <x v="170"/>
  </r>
  <r>
    <x v="9"/>
    <x v="91"/>
    <x v="2"/>
    <x v="1"/>
    <x v="1"/>
    <x v="87"/>
  </r>
  <r>
    <x v="0"/>
    <x v="0"/>
    <x v="3"/>
    <x v="0"/>
    <x v="0"/>
    <x v="542"/>
  </r>
  <r>
    <x v="0"/>
    <x v="1"/>
    <x v="3"/>
    <x v="0"/>
    <x v="0"/>
    <x v="543"/>
  </r>
  <r>
    <x v="0"/>
    <x v="2"/>
    <x v="3"/>
    <x v="0"/>
    <x v="0"/>
    <x v="52"/>
  </r>
  <r>
    <x v="0"/>
    <x v="3"/>
    <x v="3"/>
    <x v="0"/>
    <x v="0"/>
    <x v="544"/>
  </r>
  <r>
    <x v="1"/>
    <x v="4"/>
    <x v="3"/>
    <x v="0"/>
    <x v="0"/>
    <x v="545"/>
  </r>
  <r>
    <x v="1"/>
    <x v="5"/>
    <x v="3"/>
    <x v="0"/>
    <x v="0"/>
    <x v="437"/>
  </r>
  <r>
    <x v="1"/>
    <x v="6"/>
    <x v="3"/>
    <x v="0"/>
    <x v="0"/>
    <x v="73"/>
  </r>
  <r>
    <x v="2"/>
    <x v="7"/>
    <x v="3"/>
    <x v="0"/>
    <x v="0"/>
    <x v="546"/>
  </r>
  <r>
    <x v="2"/>
    <x v="8"/>
    <x v="3"/>
    <x v="0"/>
    <x v="0"/>
    <x v="547"/>
  </r>
  <r>
    <x v="3"/>
    <x v="9"/>
    <x v="3"/>
    <x v="0"/>
    <x v="0"/>
    <x v="53"/>
  </r>
  <r>
    <x v="3"/>
    <x v="10"/>
    <x v="3"/>
    <x v="0"/>
    <x v="0"/>
    <x v="274"/>
  </r>
  <r>
    <x v="3"/>
    <x v="11"/>
    <x v="3"/>
    <x v="0"/>
    <x v="0"/>
    <x v="62"/>
  </r>
  <r>
    <x v="3"/>
    <x v="12"/>
    <x v="3"/>
    <x v="0"/>
    <x v="0"/>
    <x v="204"/>
  </r>
  <r>
    <x v="3"/>
    <x v="13"/>
    <x v="3"/>
    <x v="0"/>
    <x v="0"/>
    <x v="459"/>
  </r>
  <r>
    <x v="3"/>
    <x v="14"/>
    <x v="3"/>
    <x v="0"/>
    <x v="0"/>
    <x v="517"/>
  </r>
  <r>
    <x v="3"/>
    <x v="15"/>
    <x v="3"/>
    <x v="0"/>
    <x v="0"/>
    <x v="278"/>
  </r>
  <r>
    <x v="3"/>
    <x v="16"/>
    <x v="3"/>
    <x v="0"/>
    <x v="0"/>
    <x v="548"/>
  </r>
  <r>
    <x v="3"/>
    <x v="17"/>
    <x v="3"/>
    <x v="0"/>
    <x v="0"/>
    <x v="549"/>
  </r>
  <r>
    <x v="3"/>
    <x v="18"/>
    <x v="3"/>
    <x v="0"/>
    <x v="0"/>
    <x v="550"/>
  </r>
  <r>
    <x v="3"/>
    <x v="19"/>
    <x v="3"/>
    <x v="0"/>
    <x v="0"/>
    <x v="551"/>
  </r>
  <r>
    <x v="3"/>
    <x v="20"/>
    <x v="3"/>
    <x v="0"/>
    <x v="0"/>
    <x v="552"/>
  </r>
  <r>
    <x v="3"/>
    <x v="21"/>
    <x v="3"/>
    <x v="0"/>
    <x v="0"/>
    <x v="295"/>
  </r>
  <r>
    <x v="3"/>
    <x v="22"/>
    <x v="3"/>
    <x v="0"/>
    <x v="0"/>
    <x v="553"/>
  </r>
  <r>
    <x v="3"/>
    <x v="23"/>
    <x v="3"/>
    <x v="0"/>
    <x v="0"/>
    <x v="346"/>
  </r>
  <r>
    <x v="3"/>
    <x v="24"/>
    <x v="3"/>
    <x v="0"/>
    <x v="0"/>
    <x v="554"/>
  </r>
  <r>
    <x v="3"/>
    <x v="25"/>
    <x v="3"/>
    <x v="0"/>
    <x v="0"/>
    <x v="555"/>
  </r>
  <r>
    <x v="3"/>
    <x v="26"/>
    <x v="3"/>
    <x v="0"/>
    <x v="0"/>
    <x v="553"/>
  </r>
  <r>
    <x v="3"/>
    <x v="27"/>
    <x v="3"/>
    <x v="0"/>
    <x v="0"/>
    <x v="556"/>
  </r>
  <r>
    <x v="3"/>
    <x v="28"/>
    <x v="3"/>
    <x v="0"/>
    <x v="0"/>
    <x v="557"/>
  </r>
  <r>
    <x v="3"/>
    <x v="29"/>
    <x v="3"/>
    <x v="0"/>
    <x v="0"/>
    <x v="558"/>
  </r>
  <r>
    <x v="3"/>
    <x v="30"/>
    <x v="3"/>
    <x v="0"/>
    <x v="0"/>
    <x v="559"/>
  </r>
  <r>
    <x v="3"/>
    <x v="31"/>
    <x v="3"/>
    <x v="0"/>
    <x v="0"/>
    <x v="560"/>
  </r>
  <r>
    <x v="3"/>
    <x v="32"/>
    <x v="3"/>
    <x v="0"/>
    <x v="0"/>
    <x v="561"/>
  </r>
  <r>
    <x v="3"/>
    <x v="33"/>
    <x v="3"/>
    <x v="0"/>
    <x v="0"/>
    <x v="562"/>
  </r>
  <r>
    <x v="3"/>
    <x v="34"/>
    <x v="3"/>
    <x v="0"/>
    <x v="0"/>
    <x v="563"/>
  </r>
  <r>
    <x v="3"/>
    <x v="35"/>
    <x v="3"/>
    <x v="0"/>
    <x v="0"/>
    <x v="564"/>
  </r>
  <r>
    <x v="3"/>
    <x v="36"/>
    <x v="3"/>
    <x v="0"/>
    <x v="0"/>
    <x v="46"/>
  </r>
  <r>
    <x v="3"/>
    <x v="37"/>
    <x v="3"/>
    <x v="0"/>
    <x v="0"/>
    <x v="183"/>
  </r>
  <r>
    <x v="3"/>
    <x v="38"/>
    <x v="3"/>
    <x v="0"/>
    <x v="0"/>
    <x v="565"/>
  </r>
  <r>
    <x v="3"/>
    <x v="39"/>
    <x v="3"/>
    <x v="0"/>
    <x v="0"/>
    <x v="14"/>
  </r>
  <r>
    <x v="3"/>
    <x v="40"/>
    <x v="3"/>
    <x v="0"/>
    <x v="0"/>
    <x v="566"/>
  </r>
  <r>
    <x v="3"/>
    <x v="41"/>
    <x v="3"/>
    <x v="0"/>
    <x v="0"/>
    <x v="420"/>
  </r>
  <r>
    <x v="4"/>
    <x v="42"/>
    <x v="3"/>
    <x v="0"/>
    <x v="0"/>
    <x v="567"/>
  </r>
  <r>
    <x v="4"/>
    <x v="43"/>
    <x v="3"/>
    <x v="0"/>
    <x v="0"/>
    <x v="568"/>
  </r>
  <r>
    <x v="4"/>
    <x v="44"/>
    <x v="3"/>
    <x v="0"/>
    <x v="0"/>
    <x v="133"/>
  </r>
  <r>
    <x v="4"/>
    <x v="45"/>
    <x v="3"/>
    <x v="0"/>
    <x v="0"/>
    <x v="145"/>
  </r>
  <r>
    <x v="4"/>
    <x v="46"/>
    <x v="3"/>
    <x v="0"/>
    <x v="0"/>
    <x v="569"/>
  </r>
  <r>
    <x v="4"/>
    <x v="47"/>
    <x v="3"/>
    <x v="0"/>
    <x v="0"/>
    <x v="218"/>
  </r>
  <r>
    <x v="4"/>
    <x v="48"/>
    <x v="3"/>
    <x v="0"/>
    <x v="0"/>
    <x v="570"/>
  </r>
  <r>
    <x v="4"/>
    <x v="49"/>
    <x v="3"/>
    <x v="0"/>
    <x v="0"/>
    <x v="392"/>
  </r>
  <r>
    <x v="5"/>
    <x v="50"/>
    <x v="3"/>
    <x v="0"/>
    <x v="0"/>
    <x v="323"/>
  </r>
  <r>
    <x v="5"/>
    <x v="51"/>
    <x v="3"/>
    <x v="0"/>
    <x v="0"/>
    <x v="571"/>
  </r>
  <r>
    <x v="5"/>
    <x v="52"/>
    <x v="3"/>
    <x v="0"/>
    <x v="0"/>
    <x v="572"/>
  </r>
  <r>
    <x v="5"/>
    <x v="53"/>
    <x v="3"/>
    <x v="0"/>
    <x v="0"/>
    <x v="573"/>
  </r>
  <r>
    <x v="5"/>
    <x v="54"/>
    <x v="3"/>
    <x v="0"/>
    <x v="0"/>
    <x v="95"/>
  </r>
  <r>
    <x v="5"/>
    <x v="55"/>
    <x v="3"/>
    <x v="0"/>
    <x v="0"/>
    <x v="574"/>
  </r>
  <r>
    <x v="5"/>
    <x v="56"/>
    <x v="3"/>
    <x v="0"/>
    <x v="0"/>
    <x v="393"/>
  </r>
  <r>
    <x v="5"/>
    <x v="57"/>
    <x v="3"/>
    <x v="0"/>
    <x v="0"/>
    <x v="575"/>
  </r>
  <r>
    <x v="5"/>
    <x v="58"/>
    <x v="3"/>
    <x v="0"/>
    <x v="0"/>
    <x v="576"/>
  </r>
  <r>
    <x v="5"/>
    <x v="59"/>
    <x v="3"/>
    <x v="0"/>
    <x v="0"/>
    <x v="168"/>
  </r>
  <r>
    <x v="5"/>
    <x v="60"/>
    <x v="3"/>
    <x v="0"/>
    <x v="0"/>
    <x v="577"/>
  </r>
  <r>
    <x v="5"/>
    <x v="61"/>
    <x v="3"/>
    <x v="0"/>
    <x v="0"/>
    <x v="510"/>
  </r>
  <r>
    <x v="5"/>
    <x v="62"/>
    <x v="3"/>
    <x v="0"/>
    <x v="0"/>
    <x v="60"/>
  </r>
  <r>
    <x v="5"/>
    <x v="63"/>
    <x v="3"/>
    <x v="0"/>
    <x v="0"/>
    <x v="578"/>
  </r>
  <r>
    <x v="6"/>
    <x v="64"/>
    <x v="3"/>
    <x v="0"/>
    <x v="0"/>
    <x v="372"/>
  </r>
  <r>
    <x v="6"/>
    <x v="65"/>
    <x v="3"/>
    <x v="0"/>
    <x v="0"/>
    <x v="579"/>
  </r>
  <r>
    <x v="6"/>
    <x v="66"/>
    <x v="3"/>
    <x v="0"/>
    <x v="0"/>
    <x v="153"/>
  </r>
  <r>
    <x v="6"/>
    <x v="67"/>
    <x v="3"/>
    <x v="0"/>
    <x v="0"/>
    <x v="580"/>
  </r>
  <r>
    <x v="6"/>
    <x v="68"/>
    <x v="3"/>
    <x v="0"/>
    <x v="0"/>
    <x v="581"/>
  </r>
  <r>
    <x v="6"/>
    <x v="69"/>
    <x v="3"/>
    <x v="0"/>
    <x v="0"/>
    <x v="209"/>
  </r>
  <r>
    <x v="6"/>
    <x v="70"/>
    <x v="3"/>
    <x v="0"/>
    <x v="0"/>
    <x v="419"/>
  </r>
  <r>
    <x v="6"/>
    <x v="71"/>
    <x v="3"/>
    <x v="0"/>
    <x v="0"/>
    <x v="582"/>
  </r>
  <r>
    <x v="7"/>
    <x v="72"/>
    <x v="3"/>
    <x v="0"/>
    <x v="0"/>
    <x v="46"/>
  </r>
  <r>
    <x v="7"/>
    <x v="73"/>
    <x v="3"/>
    <x v="0"/>
    <x v="0"/>
    <x v="93"/>
  </r>
  <r>
    <x v="7"/>
    <x v="74"/>
    <x v="3"/>
    <x v="0"/>
    <x v="0"/>
    <x v="583"/>
  </r>
  <r>
    <x v="7"/>
    <x v="75"/>
    <x v="3"/>
    <x v="0"/>
    <x v="0"/>
    <x v="584"/>
  </r>
  <r>
    <x v="7"/>
    <x v="76"/>
    <x v="3"/>
    <x v="0"/>
    <x v="0"/>
    <x v="585"/>
  </r>
  <r>
    <x v="7"/>
    <x v="77"/>
    <x v="3"/>
    <x v="0"/>
    <x v="0"/>
    <x v="149"/>
  </r>
  <r>
    <x v="7"/>
    <x v="78"/>
    <x v="3"/>
    <x v="0"/>
    <x v="0"/>
    <x v="281"/>
  </r>
  <r>
    <x v="7"/>
    <x v="79"/>
    <x v="3"/>
    <x v="0"/>
    <x v="0"/>
    <x v="136"/>
  </r>
  <r>
    <x v="7"/>
    <x v="80"/>
    <x v="3"/>
    <x v="0"/>
    <x v="0"/>
    <x v="197"/>
  </r>
  <r>
    <x v="7"/>
    <x v="81"/>
    <x v="3"/>
    <x v="0"/>
    <x v="0"/>
    <x v="586"/>
  </r>
  <r>
    <x v="7"/>
    <x v="82"/>
    <x v="3"/>
    <x v="0"/>
    <x v="0"/>
    <x v="574"/>
  </r>
  <r>
    <x v="8"/>
    <x v="83"/>
    <x v="3"/>
    <x v="0"/>
    <x v="0"/>
    <x v="587"/>
  </r>
  <r>
    <x v="8"/>
    <x v="84"/>
    <x v="3"/>
    <x v="0"/>
    <x v="0"/>
    <x v="10"/>
  </r>
  <r>
    <x v="8"/>
    <x v="85"/>
    <x v="3"/>
    <x v="0"/>
    <x v="0"/>
    <x v="588"/>
  </r>
  <r>
    <x v="8"/>
    <x v="86"/>
    <x v="3"/>
    <x v="0"/>
    <x v="0"/>
    <x v="589"/>
  </r>
  <r>
    <x v="8"/>
    <x v="87"/>
    <x v="3"/>
    <x v="0"/>
    <x v="0"/>
    <x v="590"/>
  </r>
  <r>
    <x v="8"/>
    <x v="88"/>
    <x v="3"/>
    <x v="0"/>
    <x v="0"/>
    <x v="591"/>
  </r>
  <r>
    <x v="9"/>
    <x v="89"/>
    <x v="3"/>
    <x v="0"/>
    <x v="0"/>
    <x v="592"/>
  </r>
  <r>
    <x v="9"/>
    <x v="90"/>
    <x v="3"/>
    <x v="0"/>
    <x v="0"/>
    <x v="95"/>
  </r>
  <r>
    <x v="9"/>
    <x v="91"/>
    <x v="3"/>
    <x v="0"/>
    <x v="0"/>
    <x v="320"/>
  </r>
  <r>
    <x v="0"/>
    <x v="0"/>
    <x v="3"/>
    <x v="0"/>
    <x v="1"/>
    <x v="91"/>
  </r>
  <r>
    <x v="0"/>
    <x v="1"/>
    <x v="3"/>
    <x v="0"/>
    <x v="1"/>
    <x v="593"/>
  </r>
  <r>
    <x v="0"/>
    <x v="2"/>
    <x v="3"/>
    <x v="0"/>
    <x v="1"/>
    <x v="44"/>
  </r>
  <r>
    <x v="0"/>
    <x v="3"/>
    <x v="3"/>
    <x v="0"/>
    <x v="1"/>
    <x v="594"/>
  </r>
  <r>
    <x v="1"/>
    <x v="4"/>
    <x v="3"/>
    <x v="0"/>
    <x v="1"/>
    <x v="595"/>
  </r>
  <r>
    <x v="1"/>
    <x v="5"/>
    <x v="3"/>
    <x v="0"/>
    <x v="1"/>
    <x v="57"/>
  </r>
  <r>
    <x v="1"/>
    <x v="6"/>
    <x v="3"/>
    <x v="0"/>
    <x v="1"/>
    <x v="2"/>
  </r>
  <r>
    <x v="2"/>
    <x v="7"/>
    <x v="3"/>
    <x v="0"/>
    <x v="1"/>
    <x v="596"/>
  </r>
  <r>
    <x v="2"/>
    <x v="8"/>
    <x v="3"/>
    <x v="0"/>
    <x v="1"/>
    <x v="597"/>
  </r>
  <r>
    <x v="3"/>
    <x v="9"/>
    <x v="3"/>
    <x v="0"/>
    <x v="1"/>
    <x v="316"/>
  </r>
  <r>
    <x v="3"/>
    <x v="10"/>
    <x v="3"/>
    <x v="0"/>
    <x v="1"/>
    <x v="44"/>
  </r>
  <r>
    <x v="3"/>
    <x v="11"/>
    <x v="3"/>
    <x v="0"/>
    <x v="1"/>
    <x v="316"/>
  </r>
  <r>
    <x v="3"/>
    <x v="12"/>
    <x v="3"/>
    <x v="0"/>
    <x v="1"/>
    <x v="93"/>
  </r>
  <r>
    <x v="3"/>
    <x v="13"/>
    <x v="3"/>
    <x v="0"/>
    <x v="1"/>
    <x v="598"/>
  </r>
  <r>
    <x v="3"/>
    <x v="14"/>
    <x v="3"/>
    <x v="0"/>
    <x v="1"/>
    <x v="12"/>
  </r>
  <r>
    <x v="3"/>
    <x v="15"/>
    <x v="3"/>
    <x v="0"/>
    <x v="1"/>
    <x v="220"/>
  </r>
  <r>
    <x v="3"/>
    <x v="16"/>
    <x v="3"/>
    <x v="0"/>
    <x v="1"/>
    <x v="599"/>
  </r>
  <r>
    <x v="3"/>
    <x v="17"/>
    <x v="3"/>
    <x v="0"/>
    <x v="1"/>
    <x v="600"/>
  </r>
  <r>
    <x v="3"/>
    <x v="18"/>
    <x v="3"/>
    <x v="0"/>
    <x v="1"/>
    <x v="601"/>
  </r>
  <r>
    <x v="3"/>
    <x v="19"/>
    <x v="3"/>
    <x v="0"/>
    <x v="1"/>
    <x v="454"/>
  </r>
  <r>
    <x v="3"/>
    <x v="20"/>
    <x v="3"/>
    <x v="0"/>
    <x v="1"/>
    <x v="476"/>
  </r>
  <r>
    <x v="3"/>
    <x v="21"/>
    <x v="3"/>
    <x v="0"/>
    <x v="1"/>
    <x v="87"/>
  </r>
  <r>
    <x v="3"/>
    <x v="22"/>
    <x v="3"/>
    <x v="0"/>
    <x v="1"/>
    <x v="602"/>
  </r>
  <r>
    <x v="3"/>
    <x v="23"/>
    <x v="3"/>
    <x v="0"/>
    <x v="1"/>
    <x v="603"/>
  </r>
  <r>
    <x v="3"/>
    <x v="24"/>
    <x v="3"/>
    <x v="0"/>
    <x v="1"/>
    <x v="604"/>
  </r>
  <r>
    <x v="3"/>
    <x v="25"/>
    <x v="3"/>
    <x v="0"/>
    <x v="1"/>
    <x v="605"/>
  </r>
  <r>
    <x v="3"/>
    <x v="26"/>
    <x v="3"/>
    <x v="0"/>
    <x v="1"/>
    <x v="606"/>
  </r>
  <r>
    <x v="3"/>
    <x v="27"/>
    <x v="3"/>
    <x v="0"/>
    <x v="1"/>
    <x v="243"/>
  </r>
  <r>
    <x v="3"/>
    <x v="28"/>
    <x v="3"/>
    <x v="0"/>
    <x v="1"/>
    <x v="607"/>
  </r>
  <r>
    <x v="3"/>
    <x v="29"/>
    <x v="3"/>
    <x v="0"/>
    <x v="1"/>
    <x v="608"/>
  </r>
  <r>
    <x v="3"/>
    <x v="30"/>
    <x v="3"/>
    <x v="0"/>
    <x v="1"/>
    <x v="609"/>
  </r>
  <r>
    <x v="3"/>
    <x v="31"/>
    <x v="3"/>
    <x v="0"/>
    <x v="1"/>
    <x v="610"/>
  </r>
  <r>
    <x v="3"/>
    <x v="32"/>
    <x v="3"/>
    <x v="0"/>
    <x v="1"/>
    <x v="611"/>
  </r>
  <r>
    <x v="3"/>
    <x v="33"/>
    <x v="3"/>
    <x v="0"/>
    <x v="1"/>
    <x v="612"/>
  </r>
  <r>
    <x v="3"/>
    <x v="34"/>
    <x v="3"/>
    <x v="0"/>
    <x v="1"/>
    <x v="613"/>
  </r>
  <r>
    <x v="3"/>
    <x v="35"/>
    <x v="3"/>
    <x v="0"/>
    <x v="1"/>
    <x v="614"/>
  </r>
  <r>
    <x v="3"/>
    <x v="36"/>
    <x v="3"/>
    <x v="0"/>
    <x v="1"/>
    <x v="168"/>
  </r>
  <r>
    <x v="3"/>
    <x v="37"/>
    <x v="3"/>
    <x v="0"/>
    <x v="1"/>
    <x v="188"/>
  </r>
  <r>
    <x v="3"/>
    <x v="38"/>
    <x v="3"/>
    <x v="0"/>
    <x v="1"/>
    <x v="615"/>
  </r>
  <r>
    <x v="3"/>
    <x v="39"/>
    <x v="3"/>
    <x v="0"/>
    <x v="1"/>
    <x v="93"/>
  </r>
  <r>
    <x v="3"/>
    <x v="40"/>
    <x v="3"/>
    <x v="0"/>
    <x v="1"/>
    <x v="616"/>
  </r>
  <r>
    <x v="3"/>
    <x v="41"/>
    <x v="3"/>
    <x v="0"/>
    <x v="1"/>
    <x v="617"/>
  </r>
  <r>
    <x v="4"/>
    <x v="42"/>
    <x v="3"/>
    <x v="0"/>
    <x v="1"/>
    <x v="618"/>
  </r>
  <r>
    <x v="4"/>
    <x v="43"/>
    <x v="3"/>
    <x v="0"/>
    <x v="1"/>
    <x v="619"/>
  </r>
  <r>
    <x v="4"/>
    <x v="44"/>
    <x v="3"/>
    <x v="0"/>
    <x v="1"/>
    <x v="329"/>
  </r>
  <r>
    <x v="4"/>
    <x v="45"/>
    <x v="3"/>
    <x v="0"/>
    <x v="1"/>
    <x v="5"/>
  </r>
  <r>
    <x v="4"/>
    <x v="46"/>
    <x v="3"/>
    <x v="0"/>
    <x v="1"/>
    <x v="620"/>
  </r>
  <r>
    <x v="4"/>
    <x v="47"/>
    <x v="3"/>
    <x v="0"/>
    <x v="1"/>
    <x v="214"/>
  </r>
  <r>
    <x v="4"/>
    <x v="48"/>
    <x v="3"/>
    <x v="0"/>
    <x v="1"/>
    <x v="621"/>
  </r>
  <r>
    <x v="4"/>
    <x v="49"/>
    <x v="3"/>
    <x v="0"/>
    <x v="1"/>
    <x v="622"/>
  </r>
  <r>
    <x v="5"/>
    <x v="50"/>
    <x v="3"/>
    <x v="0"/>
    <x v="1"/>
    <x v="623"/>
  </r>
  <r>
    <x v="5"/>
    <x v="51"/>
    <x v="3"/>
    <x v="0"/>
    <x v="1"/>
    <x v="569"/>
  </r>
  <r>
    <x v="5"/>
    <x v="52"/>
    <x v="3"/>
    <x v="0"/>
    <x v="1"/>
    <x v="624"/>
  </r>
  <r>
    <x v="5"/>
    <x v="53"/>
    <x v="3"/>
    <x v="0"/>
    <x v="1"/>
    <x v="625"/>
  </r>
  <r>
    <x v="5"/>
    <x v="54"/>
    <x v="3"/>
    <x v="0"/>
    <x v="1"/>
    <x v="70"/>
  </r>
  <r>
    <x v="5"/>
    <x v="55"/>
    <x v="3"/>
    <x v="0"/>
    <x v="1"/>
    <x v="626"/>
  </r>
  <r>
    <x v="5"/>
    <x v="56"/>
    <x v="3"/>
    <x v="0"/>
    <x v="1"/>
    <x v="62"/>
  </r>
  <r>
    <x v="5"/>
    <x v="57"/>
    <x v="3"/>
    <x v="0"/>
    <x v="1"/>
    <x v="627"/>
  </r>
  <r>
    <x v="5"/>
    <x v="58"/>
    <x v="3"/>
    <x v="0"/>
    <x v="1"/>
    <x v="628"/>
  </r>
  <r>
    <x v="5"/>
    <x v="59"/>
    <x v="3"/>
    <x v="0"/>
    <x v="1"/>
    <x v="116"/>
  </r>
  <r>
    <x v="5"/>
    <x v="60"/>
    <x v="3"/>
    <x v="0"/>
    <x v="1"/>
    <x v="569"/>
  </r>
  <r>
    <x v="5"/>
    <x v="61"/>
    <x v="3"/>
    <x v="0"/>
    <x v="1"/>
    <x v="205"/>
  </r>
  <r>
    <x v="5"/>
    <x v="62"/>
    <x v="3"/>
    <x v="0"/>
    <x v="1"/>
    <x v="374"/>
  </r>
  <r>
    <x v="5"/>
    <x v="63"/>
    <x v="3"/>
    <x v="0"/>
    <x v="1"/>
    <x v="629"/>
  </r>
  <r>
    <x v="6"/>
    <x v="64"/>
    <x v="3"/>
    <x v="0"/>
    <x v="1"/>
    <x v="125"/>
  </r>
  <r>
    <x v="6"/>
    <x v="65"/>
    <x v="3"/>
    <x v="0"/>
    <x v="1"/>
    <x v="630"/>
  </r>
  <r>
    <x v="6"/>
    <x v="66"/>
    <x v="3"/>
    <x v="0"/>
    <x v="1"/>
    <x v="480"/>
  </r>
  <r>
    <x v="6"/>
    <x v="67"/>
    <x v="3"/>
    <x v="0"/>
    <x v="1"/>
    <x v="631"/>
  </r>
  <r>
    <x v="6"/>
    <x v="68"/>
    <x v="3"/>
    <x v="0"/>
    <x v="1"/>
    <x v="632"/>
  </r>
  <r>
    <x v="6"/>
    <x v="69"/>
    <x v="3"/>
    <x v="0"/>
    <x v="1"/>
    <x v="220"/>
  </r>
  <r>
    <x v="6"/>
    <x v="70"/>
    <x v="3"/>
    <x v="0"/>
    <x v="1"/>
    <x v="633"/>
  </r>
  <r>
    <x v="6"/>
    <x v="71"/>
    <x v="3"/>
    <x v="0"/>
    <x v="1"/>
    <x v="634"/>
  </r>
  <r>
    <x v="7"/>
    <x v="72"/>
    <x v="3"/>
    <x v="0"/>
    <x v="1"/>
    <x v="117"/>
  </r>
  <r>
    <x v="7"/>
    <x v="73"/>
    <x v="3"/>
    <x v="0"/>
    <x v="1"/>
    <x v="57"/>
  </r>
  <r>
    <x v="7"/>
    <x v="74"/>
    <x v="3"/>
    <x v="0"/>
    <x v="1"/>
    <x v="92"/>
  </r>
  <r>
    <x v="7"/>
    <x v="75"/>
    <x v="3"/>
    <x v="0"/>
    <x v="1"/>
    <x v="635"/>
  </r>
  <r>
    <x v="7"/>
    <x v="76"/>
    <x v="3"/>
    <x v="0"/>
    <x v="1"/>
    <x v="145"/>
  </r>
  <r>
    <x v="7"/>
    <x v="77"/>
    <x v="3"/>
    <x v="0"/>
    <x v="1"/>
    <x v="71"/>
  </r>
  <r>
    <x v="7"/>
    <x v="78"/>
    <x v="3"/>
    <x v="0"/>
    <x v="1"/>
    <x v="231"/>
  </r>
  <r>
    <x v="7"/>
    <x v="79"/>
    <x v="3"/>
    <x v="0"/>
    <x v="1"/>
    <x v="116"/>
  </r>
  <r>
    <x v="7"/>
    <x v="80"/>
    <x v="3"/>
    <x v="0"/>
    <x v="1"/>
    <x v="284"/>
  </r>
  <r>
    <x v="7"/>
    <x v="81"/>
    <x v="3"/>
    <x v="0"/>
    <x v="1"/>
    <x v="636"/>
  </r>
  <r>
    <x v="7"/>
    <x v="82"/>
    <x v="3"/>
    <x v="0"/>
    <x v="1"/>
    <x v="539"/>
  </r>
  <r>
    <x v="8"/>
    <x v="83"/>
    <x v="3"/>
    <x v="0"/>
    <x v="1"/>
    <x v="637"/>
  </r>
  <r>
    <x v="8"/>
    <x v="84"/>
    <x v="3"/>
    <x v="0"/>
    <x v="1"/>
    <x v="129"/>
  </r>
  <r>
    <x v="8"/>
    <x v="85"/>
    <x v="3"/>
    <x v="0"/>
    <x v="1"/>
    <x v="638"/>
  </r>
  <r>
    <x v="8"/>
    <x v="86"/>
    <x v="3"/>
    <x v="0"/>
    <x v="1"/>
    <x v="639"/>
  </r>
  <r>
    <x v="8"/>
    <x v="87"/>
    <x v="3"/>
    <x v="0"/>
    <x v="1"/>
    <x v="640"/>
  </r>
  <r>
    <x v="8"/>
    <x v="88"/>
    <x v="3"/>
    <x v="0"/>
    <x v="1"/>
    <x v="641"/>
  </r>
  <r>
    <x v="9"/>
    <x v="89"/>
    <x v="3"/>
    <x v="0"/>
    <x v="1"/>
    <x v="642"/>
  </r>
  <r>
    <x v="9"/>
    <x v="90"/>
    <x v="3"/>
    <x v="0"/>
    <x v="1"/>
    <x v="167"/>
  </r>
  <r>
    <x v="9"/>
    <x v="91"/>
    <x v="3"/>
    <x v="0"/>
    <x v="1"/>
    <x v="276"/>
  </r>
  <r>
    <x v="0"/>
    <x v="0"/>
    <x v="3"/>
    <x v="1"/>
    <x v="0"/>
    <x v="316"/>
  </r>
  <r>
    <x v="0"/>
    <x v="1"/>
    <x v="3"/>
    <x v="1"/>
    <x v="0"/>
    <x v="643"/>
  </r>
  <r>
    <x v="0"/>
    <x v="2"/>
    <x v="3"/>
    <x v="1"/>
    <x v="0"/>
    <x v="644"/>
  </r>
  <r>
    <x v="0"/>
    <x v="3"/>
    <x v="3"/>
    <x v="1"/>
    <x v="0"/>
    <x v="645"/>
  </r>
  <r>
    <x v="1"/>
    <x v="4"/>
    <x v="3"/>
    <x v="1"/>
    <x v="0"/>
    <x v="646"/>
  </r>
  <r>
    <x v="1"/>
    <x v="5"/>
    <x v="3"/>
    <x v="1"/>
    <x v="0"/>
    <x v="87"/>
  </r>
  <r>
    <x v="1"/>
    <x v="6"/>
    <x v="3"/>
    <x v="1"/>
    <x v="0"/>
    <x v="12"/>
  </r>
  <r>
    <x v="2"/>
    <x v="7"/>
    <x v="3"/>
    <x v="1"/>
    <x v="0"/>
    <x v="647"/>
  </r>
  <r>
    <x v="2"/>
    <x v="8"/>
    <x v="3"/>
    <x v="1"/>
    <x v="0"/>
    <x v="406"/>
  </r>
  <r>
    <x v="3"/>
    <x v="9"/>
    <x v="3"/>
    <x v="1"/>
    <x v="0"/>
    <x v="12"/>
  </r>
  <r>
    <x v="3"/>
    <x v="10"/>
    <x v="3"/>
    <x v="1"/>
    <x v="0"/>
    <x v="170"/>
  </r>
  <r>
    <x v="3"/>
    <x v="11"/>
    <x v="3"/>
    <x v="1"/>
    <x v="0"/>
    <x v="93"/>
  </r>
  <r>
    <x v="3"/>
    <x v="12"/>
    <x v="3"/>
    <x v="1"/>
    <x v="0"/>
    <x v="87"/>
  </r>
  <r>
    <x v="3"/>
    <x v="13"/>
    <x v="3"/>
    <x v="1"/>
    <x v="0"/>
    <x v="648"/>
  </r>
  <r>
    <x v="3"/>
    <x v="14"/>
    <x v="3"/>
    <x v="1"/>
    <x v="0"/>
    <x v="87"/>
  </r>
  <r>
    <x v="3"/>
    <x v="15"/>
    <x v="3"/>
    <x v="1"/>
    <x v="0"/>
    <x v="192"/>
  </r>
  <r>
    <x v="3"/>
    <x v="16"/>
    <x v="3"/>
    <x v="1"/>
    <x v="0"/>
    <x v="649"/>
  </r>
  <r>
    <x v="3"/>
    <x v="17"/>
    <x v="3"/>
    <x v="1"/>
    <x v="0"/>
    <x v="650"/>
  </r>
  <r>
    <x v="3"/>
    <x v="18"/>
    <x v="3"/>
    <x v="1"/>
    <x v="0"/>
    <x v="651"/>
  </r>
  <r>
    <x v="3"/>
    <x v="19"/>
    <x v="3"/>
    <x v="1"/>
    <x v="0"/>
    <x v="652"/>
  </r>
  <r>
    <x v="3"/>
    <x v="20"/>
    <x v="3"/>
    <x v="1"/>
    <x v="0"/>
    <x v="225"/>
  </r>
  <r>
    <x v="3"/>
    <x v="21"/>
    <x v="3"/>
    <x v="1"/>
    <x v="0"/>
    <x v="87"/>
  </r>
  <r>
    <x v="3"/>
    <x v="22"/>
    <x v="3"/>
    <x v="1"/>
    <x v="0"/>
    <x v="653"/>
  </r>
  <r>
    <x v="3"/>
    <x v="23"/>
    <x v="3"/>
    <x v="1"/>
    <x v="0"/>
    <x v="92"/>
  </r>
  <r>
    <x v="3"/>
    <x v="24"/>
    <x v="3"/>
    <x v="1"/>
    <x v="0"/>
    <x v="654"/>
  </r>
  <r>
    <x v="3"/>
    <x v="25"/>
    <x v="3"/>
    <x v="1"/>
    <x v="0"/>
    <x v="655"/>
  </r>
  <r>
    <x v="3"/>
    <x v="26"/>
    <x v="3"/>
    <x v="1"/>
    <x v="0"/>
    <x v="656"/>
  </r>
  <r>
    <x v="3"/>
    <x v="27"/>
    <x v="3"/>
    <x v="1"/>
    <x v="0"/>
    <x v="657"/>
  </r>
  <r>
    <x v="3"/>
    <x v="28"/>
    <x v="3"/>
    <x v="1"/>
    <x v="0"/>
    <x v="658"/>
  </r>
  <r>
    <x v="3"/>
    <x v="29"/>
    <x v="3"/>
    <x v="1"/>
    <x v="0"/>
    <x v="659"/>
  </r>
  <r>
    <x v="3"/>
    <x v="30"/>
    <x v="3"/>
    <x v="1"/>
    <x v="0"/>
    <x v="660"/>
  </r>
  <r>
    <x v="3"/>
    <x v="31"/>
    <x v="3"/>
    <x v="1"/>
    <x v="0"/>
    <x v="51"/>
  </r>
  <r>
    <x v="3"/>
    <x v="32"/>
    <x v="3"/>
    <x v="1"/>
    <x v="0"/>
    <x v="661"/>
  </r>
  <r>
    <x v="3"/>
    <x v="33"/>
    <x v="3"/>
    <x v="1"/>
    <x v="0"/>
    <x v="662"/>
  </r>
  <r>
    <x v="3"/>
    <x v="34"/>
    <x v="3"/>
    <x v="1"/>
    <x v="0"/>
    <x v="663"/>
  </r>
  <r>
    <x v="3"/>
    <x v="35"/>
    <x v="3"/>
    <x v="1"/>
    <x v="0"/>
    <x v="664"/>
  </r>
  <r>
    <x v="3"/>
    <x v="36"/>
    <x v="3"/>
    <x v="1"/>
    <x v="0"/>
    <x v="175"/>
  </r>
  <r>
    <x v="3"/>
    <x v="37"/>
    <x v="3"/>
    <x v="1"/>
    <x v="0"/>
    <x v="333"/>
  </r>
  <r>
    <x v="3"/>
    <x v="38"/>
    <x v="3"/>
    <x v="1"/>
    <x v="0"/>
    <x v="665"/>
  </r>
  <r>
    <x v="3"/>
    <x v="39"/>
    <x v="3"/>
    <x v="1"/>
    <x v="0"/>
    <x v="192"/>
  </r>
  <r>
    <x v="3"/>
    <x v="40"/>
    <x v="3"/>
    <x v="1"/>
    <x v="0"/>
    <x v="95"/>
  </r>
  <r>
    <x v="3"/>
    <x v="41"/>
    <x v="3"/>
    <x v="1"/>
    <x v="0"/>
    <x v="269"/>
  </r>
  <r>
    <x v="4"/>
    <x v="42"/>
    <x v="3"/>
    <x v="1"/>
    <x v="0"/>
    <x v="666"/>
  </r>
  <r>
    <x v="4"/>
    <x v="43"/>
    <x v="3"/>
    <x v="1"/>
    <x v="0"/>
    <x v="175"/>
  </r>
  <r>
    <x v="4"/>
    <x v="44"/>
    <x v="3"/>
    <x v="1"/>
    <x v="0"/>
    <x v="10"/>
  </r>
  <r>
    <x v="4"/>
    <x v="45"/>
    <x v="3"/>
    <x v="1"/>
    <x v="0"/>
    <x v="167"/>
  </r>
  <r>
    <x v="4"/>
    <x v="46"/>
    <x v="3"/>
    <x v="1"/>
    <x v="0"/>
    <x v="617"/>
  </r>
  <r>
    <x v="4"/>
    <x v="47"/>
    <x v="3"/>
    <x v="1"/>
    <x v="0"/>
    <x v="95"/>
  </r>
  <r>
    <x v="4"/>
    <x v="48"/>
    <x v="3"/>
    <x v="1"/>
    <x v="0"/>
    <x v="667"/>
  </r>
  <r>
    <x v="4"/>
    <x v="49"/>
    <x v="3"/>
    <x v="1"/>
    <x v="0"/>
    <x v="5"/>
  </r>
  <r>
    <x v="5"/>
    <x v="50"/>
    <x v="3"/>
    <x v="1"/>
    <x v="0"/>
    <x v="52"/>
  </r>
  <r>
    <x v="5"/>
    <x v="51"/>
    <x v="3"/>
    <x v="1"/>
    <x v="0"/>
    <x v="476"/>
  </r>
  <r>
    <x v="5"/>
    <x v="52"/>
    <x v="3"/>
    <x v="1"/>
    <x v="0"/>
    <x v="539"/>
  </r>
  <r>
    <x v="5"/>
    <x v="53"/>
    <x v="3"/>
    <x v="1"/>
    <x v="0"/>
    <x v="52"/>
  </r>
  <r>
    <x v="5"/>
    <x v="54"/>
    <x v="3"/>
    <x v="1"/>
    <x v="0"/>
    <x v="87"/>
  </r>
  <r>
    <x v="5"/>
    <x v="55"/>
    <x v="3"/>
    <x v="1"/>
    <x v="0"/>
    <x v="281"/>
  </r>
  <r>
    <x v="5"/>
    <x v="56"/>
    <x v="3"/>
    <x v="1"/>
    <x v="0"/>
    <x v="43"/>
  </r>
  <r>
    <x v="5"/>
    <x v="57"/>
    <x v="3"/>
    <x v="1"/>
    <x v="0"/>
    <x v="668"/>
  </r>
  <r>
    <x v="5"/>
    <x v="58"/>
    <x v="3"/>
    <x v="1"/>
    <x v="0"/>
    <x v="21"/>
  </r>
  <r>
    <x v="5"/>
    <x v="59"/>
    <x v="3"/>
    <x v="1"/>
    <x v="0"/>
    <x v="136"/>
  </r>
  <r>
    <x v="5"/>
    <x v="60"/>
    <x v="3"/>
    <x v="1"/>
    <x v="0"/>
    <x v="75"/>
  </r>
  <r>
    <x v="5"/>
    <x v="61"/>
    <x v="3"/>
    <x v="1"/>
    <x v="0"/>
    <x v="220"/>
  </r>
  <r>
    <x v="5"/>
    <x v="62"/>
    <x v="3"/>
    <x v="1"/>
    <x v="0"/>
    <x v="12"/>
  </r>
  <r>
    <x v="5"/>
    <x v="63"/>
    <x v="3"/>
    <x v="1"/>
    <x v="0"/>
    <x v="669"/>
  </r>
  <r>
    <x v="6"/>
    <x v="64"/>
    <x v="3"/>
    <x v="1"/>
    <x v="0"/>
    <x v="60"/>
  </r>
  <r>
    <x v="6"/>
    <x v="65"/>
    <x v="3"/>
    <x v="1"/>
    <x v="0"/>
    <x v="183"/>
  </r>
  <r>
    <x v="6"/>
    <x v="66"/>
    <x v="3"/>
    <x v="1"/>
    <x v="0"/>
    <x v="53"/>
  </r>
  <r>
    <x v="6"/>
    <x v="67"/>
    <x v="3"/>
    <x v="1"/>
    <x v="0"/>
    <x v="236"/>
  </r>
  <r>
    <x v="6"/>
    <x v="68"/>
    <x v="3"/>
    <x v="1"/>
    <x v="0"/>
    <x v="670"/>
  </r>
  <r>
    <x v="6"/>
    <x v="69"/>
    <x v="3"/>
    <x v="1"/>
    <x v="0"/>
    <x v="57"/>
  </r>
  <r>
    <x v="6"/>
    <x v="70"/>
    <x v="3"/>
    <x v="1"/>
    <x v="0"/>
    <x v="432"/>
  </r>
  <r>
    <x v="6"/>
    <x v="71"/>
    <x v="3"/>
    <x v="1"/>
    <x v="0"/>
    <x v="671"/>
  </r>
  <r>
    <x v="7"/>
    <x v="72"/>
    <x v="3"/>
    <x v="1"/>
    <x v="0"/>
    <x v="87"/>
  </r>
  <r>
    <x v="7"/>
    <x v="73"/>
    <x v="3"/>
    <x v="1"/>
    <x v="0"/>
    <x v="170"/>
  </r>
  <r>
    <x v="7"/>
    <x v="74"/>
    <x v="3"/>
    <x v="1"/>
    <x v="0"/>
    <x v="57"/>
  </r>
  <r>
    <x v="7"/>
    <x v="75"/>
    <x v="3"/>
    <x v="1"/>
    <x v="0"/>
    <x v="201"/>
  </r>
  <r>
    <x v="7"/>
    <x v="76"/>
    <x v="3"/>
    <x v="1"/>
    <x v="0"/>
    <x v="74"/>
  </r>
  <r>
    <x v="7"/>
    <x v="77"/>
    <x v="3"/>
    <x v="1"/>
    <x v="0"/>
    <x v="70"/>
  </r>
  <r>
    <x v="7"/>
    <x v="78"/>
    <x v="3"/>
    <x v="1"/>
    <x v="0"/>
    <x v="170"/>
  </r>
  <r>
    <x v="7"/>
    <x v="79"/>
    <x v="3"/>
    <x v="1"/>
    <x v="0"/>
    <x v="87"/>
  </r>
  <r>
    <x v="7"/>
    <x v="80"/>
    <x v="3"/>
    <x v="1"/>
    <x v="0"/>
    <x v="87"/>
  </r>
  <r>
    <x v="7"/>
    <x v="81"/>
    <x v="3"/>
    <x v="1"/>
    <x v="0"/>
    <x v="10"/>
  </r>
  <r>
    <x v="7"/>
    <x v="82"/>
    <x v="3"/>
    <x v="1"/>
    <x v="0"/>
    <x v="284"/>
  </r>
  <r>
    <x v="8"/>
    <x v="83"/>
    <x v="3"/>
    <x v="1"/>
    <x v="0"/>
    <x v="400"/>
  </r>
  <r>
    <x v="8"/>
    <x v="84"/>
    <x v="3"/>
    <x v="1"/>
    <x v="0"/>
    <x v="231"/>
  </r>
  <r>
    <x v="8"/>
    <x v="85"/>
    <x v="3"/>
    <x v="1"/>
    <x v="0"/>
    <x v="672"/>
  </r>
  <r>
    <x v="8"/>
    <x v="86"/>
    <x v="3"/>
    <x v="1"/>
    <x v="0"/>
    <x v="396"/>
  </r>
  <r>
    <x v="8"/>
    <x v="87"/>
    <x v="3"/>
    <x v="1"/>
    <x v="0"/>
    <x v="673"/>
  </r>
  <r>
    <x v="8"/>
    <x v="88"/>
    <x v="3"/>
    <x v="1"/>
    <x v="0"/>
    <x v="376"/>
  </r>
  <r>
    <x v="9"/>
    <x v="89"/>
    <x v="3"/>
    <x v="1"/>
    <x v="0"/>
    <x v="220"/>
  </r>
  <r>
    <x v="9"/>
    <x v="90"/>
    <x v="3"/>
    <x v="1"/>
    <x v="0"/>
    <x v="87"/>
  </r>
  <r>
    <x v="9"/>
    <x v="91"/>
    <x v="3"/>
    <x v="1"/>
    <x v="0"/>
    <x v="124"/>
  </r>
  <r>
    <x v="0"/>
    <x v="0"/>
    <x v="3"/>
    <x v="1"/>
    <x v="1"/>
    <x v="87"/>
  </r>
  <r>
    <x v="0"/>
    <x v="1"/>
    <x v="3"/>
    <x v="1"/>
    <x v="1"/>
    <x v="674"/>
  </r>
  <r>
    <x v="0"/>
    <x v="2"/>
    <x v="3"/>
    <x v="1"/>
    <x v="1"/>
    <x v="675"/>
  </r>
  <r>
    <x v="0"/>
    <x v="3"/>
    <x v="3"/>
    <x v="1"/>
    <x v="1"/>
    <x v="676"/>
  </r>
  <r>
    <x v="1"/>
    <x v="4"/>
    <x v="3"/>
    <x v="1"/>
    <x v="1"/>
    <x v="577"/>
  </r>
  <r>
    <x v="1"/>
    <x v="5"/>
    <x v="3"/>
    <x v="1"/>
    <x v="1"/>
    <x v="175"/>
  </r>
  <r>
    <x v="1"/>
    <x v="6"/>
    <x v="3"/>
    <x v="1"/>
    <x v="1"/>
    <x v="175"/>
  </r>
  <r>
    <x v="2"/>
    <x v="7"/>
    <x v="3"/>
    <x v="1"/>
    <x v="1"/>
    <x v="652"/>
  </r>
  <r>
    <x v="2"/>
    <x v="8"/>
    <x v="3"/>
    <x v="1"/>
    <x v="1"/>
    <x v="323"/>
  </r>
  <r>
    <x v="3"/>
    <x v="9"/>
    <x v="3"/>
    <x v="1"/>
    <x v="1"/>
    <x v="87"/>
  </r>
  <r>
    <x v="3"/>
    <x v="10"/>
    <x v="3"/>
    <x v="1"/>
    <x v="1"/>
    <x v="175"/>
  </r>
  <r>
    <x v="3"/>
    <x v="11"/>
    <x v="3"/>
    <x v="1"/>
    <x v="1"/>
    <x v="170"/>
  </r>
  <r>
    <x v="3"/>
    <x v="12"/>
    <x v="3"/>
    <x v="1"/>
    <x v="1"/>
    <x v="175"/>
  </r>
  <r>
    <x v="3"/>
    <x v="13"/>
    <x v="3"/>
    <x v="1"/>
    <x v="1"/>
    <x v="677"/>
  </r>
  <r>
    <x v="3"/>
    <x v="14"/>
    <x v="3"/>
    <x v="1"/>
    <x v="1"/>
    <x v="175"/>
  </r>
  <r>
    <x v="3"/>
    <x v="15"/>
    <x v="3"/>
    <x v="1"/>
    <x v="1"/>
    <x v="87"/>
  </r>
  <r>
    <x v="3"/>
    <x v="16"/>
    <x v="3"/>
    <x v="1"/>
    <x v="1"/>
    <x v="225"/>
  </r>
  <r>
    <x v="3"/>
    <x v="17"/>
    <x v="3"/>
    <x v="1"/>
    <x v="1"/>
    <x v="373"/>
  </r>
  <r>
    <x v="3"/>
    <x v="18"/>
    <x v="3"/>
    <x v="1"/>
    <x v="1"/>
    <x v="678"/>
  </r>
  <r>
    <x v="3"/>
    <x v="19"/>
    <x v="3"/>
    <x v="1"/>
    <x v="1"/>
    <x v="53"/>
  </r>
  <r>
    <x v="3"/>
    <x v="20"/>
    <x v="3"/>
    <x v="1"/>
    <x v="1"/>
    <x v="66"/>
  </r>
  <r>
    <x v="3"/>
    <x v="21"/>
    <x v="3"/>
    <x v="1"/>
    <x v="1"/>
    <x v="87"/>
  </r>
  <r>
    <x v="3"/>
    <x v="22"/>
    <x v="3"/>
    <x v="1"/>
    <x v="1"/>
    <x v="480"/>
  </r>
  <r>
    <x v="3"/>
    <x v="23"/>
    <x v="3"/>
    <x v="1"/>
    <x v="1"/>
    <x v="87"/>
  </r>
  <r>
    <x v="3"/>
    <x v="24"/>
    <x v="3"/>
    <x v="1"/>
    <x v="1"/>
    <x v="583"/>
  </r>
  <r>
    <x v="3"/>
    <x v="25"/>
    <x v="3"/>
    <x v="1"/>
    <x v="1"/>
    <x v="679"/>
  </r>
  <r>
    <x v="3"/>
    <x v="26"/>
    <x v="3"/>
    <x v="1"/>
    <x v="1"/>
    <x v="616"/>
  </r>
  <r>
    <x v="3"/>
    <x v="27"/>
    <x v="3"/>
    <x v="1"/>
    <x v="1"/>
    <x v="216"/>
  </r>
  <r>
    <x v="3"/>
    <x v="28"/>
    <x v="3"/>
    <x v="1"/>
    <x v="1"/>
    <x v="104"/>
  </r>
  <r>
    <x v="3"/>
    <x v="29"/>
    <x v="3"/>
    <x v="1"/>
    <x v="1"/>
    <x v="680"/>
  </r>
  <r>
    <x v="3"/>
    <x v="30"/>
    <x v="3"/>
    <x v="1"/>
    <x v="1"/>
    <x v="322"/>
  </r>
  <r>
    <x v="3"/>
    <x v="31"/>
    <x v="3"/>
    <x v="1"/>
    <x v="1"/>
    <x v="242"/>
  </r>
  <r>
    <x v="3"/>
    <x v="32"/>
    <x v="3"/>
    <x v="1"/>
    <x v="1"/>
    <x v="681"/>
  </r>
  <r>
    <x v="3"/>
    <x v="33"/>
    <x v="3"/>
    <x v="1"/>
    <x v="1"/>
    <x v="682"/>
  </r>
  <r>
    <x v="3"/>
    <x v="34"/>
    <x v="3"/>
    <x v="1"/>
    <x v="1"/>
    <x v="617"/>
  </r>
  <r>
    <x v="3"/>
    <x v="35"/>
    <x v="3"/>
    <x v="1"/>
    <x v="1"/>
    <x v="680"/>
  </r>
  <r>
    <x v="3"/>
    <x v="36"/>
    <x v="3"/>
    <x v="1"/>
    <x v="1"/>
    <x v="87"/>
  </r>
  <r>
    <x v="3"/>
    <x v="37"/>
    <x v="3"/>
    <x v="1"/>
    <x v="1"/>
    <x v="87"/>
  </r>
  <r>
    <x v="3"/>
    <x v="38"/>
    <x v="3"/>
    <x v="1"/>
    <x v="1"/>
    <x v="683"/>
  </r>
  <r>
    <x v="3"/>
    <x v="39"/>
    <x v="3"/>
    <x v="1"/>
    <x v="1"/>
    <x v="87"/>
  </r>
  <r>
    <x v="3"/>
    <x v="40"/>
    <x v="3"/>
    <x v="1"/>
    <x v="1"/>
    <x v="87"/>
  </r>
  <r>
    <x v="3"/>
    <x v="41"/>
    <x v="3"/>
    <x v="1"/>
    <x v="1"/>
    <x v="136"/>
  </r>
  <r>
    <x v="4"/>
    <x v="42"/>
    <x v="3"/>
    <x v="1"/>
    <x v="1"/>
    <x v="199"/>
  </r>
  <r>
    <x v="4"/>
    <x v="43"/>
    <x v="3"/>
    <x v="1"/>
    <x v="1"/>
    <x v="175"/>
  </r>
  <r>
    <x v="4"/>
    <x v="44"/>
    <x v="3"/>
    <x v="1"/>
    <x v="1"/>
    <x v="136"/>
  </r>
  <r>
    <x v="4"/>
    <x v="45"/>
    <x v="3"/>
    <x v="1"/>
    <x v="1"/>
    <x v="87"/>
  </r>
  <r>
    <x v="4"/>
    <x v="46"/>
    <x v="3"/>
    <x v="1"/>
    <x v="1"/>
    <x v="52"/>
  </r>
  <r>
    <x v="4"/>
    <x v="47"/>
    <x v="3"/>
    <x v="1"/>
    <x v="1"/>
    <x v="116"/>
  </r>
  <r>
    <x v="4"/>
    <x v="48"/>
    <x v="3"/>
    <x v="1"/>
    <x v="1"/>
    <x v="484"/>
  </r>
  <r>
    <x v="4"/>
    <x v="49"/>
    <x v="3"/>
    <x v="1"/>
    <x v="1"/>
    <x v="87"/>
  </r>
  <r>
    <x v="5"/>
    <x v="50"/>
    <x v="3"/>
    <x v="1"/>
    <x v="1"/>
    <x v="21"/>
  </r>
  <r>
    <x v="5"/>
    <x v="51"/>
    <x v="3"/>
    <x v="1"/>
    <x v="1"/>
    <x v="87"/>
  </r>
  <r>
    <x v="5"/>
    <x v="52"/>
    <x v="3"/>
    <x v="1"/>
    <x v="1"/>
    <x v="87"/>
  </r>
  <r>
    <x v="5"/>
    <x v="53"/>
    <x v="3"/>
    <x v="1"/>
    <x v="1"/>
    <x v="87"/>
  </r>
  <r>
    <x v="5"/>
    <x v="54"/>
    <x v="3"/>
    <x v="1"/>
    <x v="1"/>
    <x v="87"/>
  </r>
  <r>
    <x v="5"/>
    <x v="55"/>
    <x v="3"/>
    <x v="1"/>
    <x v="1"/>
    <x v="87"/>
  </r>
  <r>
    <x v="5"/>
    <x v="56"/>
    <x v="3"/>
    <x v="1"/>
    <x v="1"/>
    <x v="87"/>
  </r>
  <r>
    <x v="5"/>
    <x v="57"/>
    <x v="3"/>
    <x v="1"/>
    <x v="1"/>
    <x v="684"/>
  </r>
  <r>
    <x v="5"/>
    <x v="58"/>
    <x v="3"/>
    <x v="1"/>
    <x v="1"/>
    <x v="436"/>
  </r>
  <r>
    <x v="5"/>
    <x v="59"/>
    <x v="3"/>
    <x v="1"/>
    <x v="1"/>
    <x v="175"/>
  </r>
  <r>
    <x v="5"/>
    <x v="60"/>
    <x v="3"/>
    <x v="1"/>
    <x v="1"/>
    <x v="204"/>
  </r>
  <r>
    <x v="5"/>
    <x v="61"/>
    <x v="3"/>
    <x v="1"/>
    <x v="1"/>
    <x v="192"/>
  </r>
  <r>
    <x v="5"/>
    <x v="62"/>
    <x v="3"/>
    <x v="1"/>
    <x v="1"/>
    <x v="87"/>
  </r>
  <r>
    <x v="5"/>
    <x v="63"/>
    <x v="3"/>
    <x v="1"/>
    <x v="1"/>
    <x v="685"/>
  </r>
  <r>
    <x v="6"/>
    <x v="64"/>
    <x v="3"/>
    <x v="1"/>
    <x v="1"/>
    <x v="57"/>
  </r>
  <r>
    <x v="6"/>
    <x v="65"/>
    <x v="3"/>
    <x v="1"/>
    <x v="1"/>
    <x v="204"/>
  </r>
  <r>
    <x v="6"/>
    <x v="66"/>
    <x v="3"/>
    <x v="1"/>
    <x v="1"/>
    <x v="236"/>
  </r>
  <r>
    <x v="6"/>
    <x v="67"/>
    <x v="3"/>
    <x v="1"/>
    <x v="1"/>
    <x v="87"/>
  </r>
  <r>
    <x v="6"/>
    <x v="68"/>
    <x v="3"/>
    <x v="1"/>
    <x v="1"/>
    <x v="686"/>
  </r>
  <r>
    <x v="6"/>
    <x v="69"/>
    <x v="3"/>
    <x v="1"/>
    <x v="1"/>
    <x v="168"/>
  </r>
  <r>
    <x v="6"/>
    <x v="70"/>
    <x v="3"/>
    <x v="1"/>
    <x v="1"/>
    <x v="73"/>
  </r>
  <r>
    <x v="6"/>
    <x v="71"/>
    <x v="3"/>
    <x v="1"/>
    <x v="1"/>
    <x v="236"/>
  </r>
  <r>
    <x v="7"/>
    <x v="72"/>
    <x v="3"/>
    <x v="1"/>
    <x v="1"/>
    <x v="87"/>
  </r>
  <r>
    <x v="7"/>
    <x v="73"/>
    <x v="3"/>
    <x v="1"/>
    <x v="1"/>
    <x v="175"/>
  </r>
  <r>
    <x v="7"/>
    <x v="74"/>
    <x v="3"/>
    <x v="1"/>
    <x v="1"/>
    <x v="87"/>
  </r>
  <r>
    <x v="7"/>
    <x v="75"/>
    <x v="3"/>
    <x v="1"/>
    <x v="1"/>
    <x v="192"/>
  </r>
  <r>
    <x v="7"/>
    <x v="76"/>
    <x v="3"/>
    <x v="1"/>
    <x v="1"/>
    <x v="175"/>
  </r>
  <r>
    <x v="7"/>
    <x v="77"/>
    <x v="3"/>
    <x v="1"/>
    <x v="1"/>
    <x v="87"/>
  </r>
  <r>
    <x v="7"/>
    <x v="78"/>
    <x v="3"/>
    <x v="1"/>
    <x v="1"/>
    <x v="170"/>
  </r>
  <r>
    <x v="7"/>
    <x v="79"/>
    <x v="3"/>
    <x v="1"/>
    <x v="1"/>
    <x v="175"/>
  </r>
  <r>
    <x v="7"/>
    <x v="80"/>
    <x v="3"/>
    <x v="1"/>
    <x v="1"/>
    <x v="175"/>
  </r>
  <r>
    <x v="7"/>
    <x v="81"/>
    <x v="3"/>
    <x v="1"/>
    <x v="1"/>
    <x v="136"/>
  </r>
  <r>
    <x v="7"/>
    <x v="82"/>
    <x v="3"/>
    <x v="1"/>
    <x v="1"/>
    <x v="87"/>
  </r>
  <r>
    <x v="8"/>
    <x v="83"/>
    <x v="3"/>
    <x v="1"/>
    <x v="1"/>
    <x v="191"/>
  </r>
  <r>
    <x v="8"/>
    <x v="84"/>
    <x v="3"/>
    <x v="1"/>
    <x v="1"/>
    <x v="21"/>
  </r>
  <r>
    <x v="8"/>
    <x v="85"/>
    <x v="3"/>
    <x v="1"/>
    <x v="1"/>
    <x v="687"/>
  </r>
  <r>
    <x v="8"/>
    <x v="86"/>
    <x v="3"/>
    <x v="1"/>
    <x v="1"/>
    <x v="688"/>
  </r>
  <r>
    <x v="8"/>
    <x v="87"/>
    <x v="3"/>
    <x v="1"/>
    <x v="1"/>
    <x v="689"/>
  </r>
  <r>
    <x v="8"/>
    <x v="88"/>
    <x v="3"/>
    <x v="1"/>
    <x v="1"/>
    <x v="690"/>
  </r>
  <r>
    <x v="9"/>
    <x v="89"/>
    <x v="3"/>
    <x v="1"/>
    <x v="1"/>
    <x v="87"/>
  </r>
  <r>
    <x v="9"/>
    <x v="90"/>
    <x v="3"/>
    <x v="1"/>
    <x v="1"/>
    <x v="175"/>
  </r>
  <r>
    <x v="9"/>
    <x v="91"/>
    <x v="3"/>
    <x v="1"/>
    <x v="1"/>
    <x v="87"/>
  </r>
  <r>
    <x v="0"/>
    <x v="0"/>
    <x v="4"/>
    <x v="0"/>
    <x v="0"/>
    <x v="330"/>
  </r>
  <r>
    <x v="0"/>
    <x v="1"/>
    <x v="4"/>
    <x v="0"/>
    <x v="0"/>
    <x v="691"/>
  </r>
  <r>
    <x v="0"/>
    <x v="2"/>
    <x v="4"/>
    <x v="0"/>
    <x v="0"/>
    <x v="168"/>
  </r>
  <r>
    <x v="0"/>
    <x v="3"/>
    <x v="4"/>
    <x v="0"/>
    <x v="0"/>
    <x v="692"/>
  </r>
  <r>
    <x v="1"/>
    <x v="4"/>
    <x v="4"/>
    <x v="0"/>
    <x v="0"/>
    <x v="693"/>
  </r>
  <r>
    <x v="1"/>
    <x v="5"/>
    <x v="4"/>
    <x v="0"/>
    <x v="0"/>
    <x v="437"/>
  </r>
  <r>
    <x v="1"/>
    <x v="6"/>
    <x v="4"/>
    <x v="0"/>
    <x v="0"/>
    <x v="323"/>
  </r>
  <r>
    <x v="2"/>
    <x v="7"/>
    <x v="4"/>
    <x v="0"/>
    <x v="0"/>
    <x v="694"/>
  </r>
  <r>
    <x v="2"/>
    <x v="8"/>
    <x v="4"/>
    <x v="0"/>
    <x v="0"/>
    <x v="695"/>
  </r>
  <r>
    <x v="3"/>
    <x v="9"/>
    <x v="4"/>
    <x v="0"/>
    <x v="0"/>
    <x v="128"/>
  </r>
  <r>
    <x v="3"/>
    <x v="10"/>
    <x v="4"/>
    <x v="0"/>
    <x v="0"/>
    <x v="274"/>
  </r>
  <r>
    <x v="3"/>
    <x v="11"/>
    <x v="4"/>
    <x v="0"/>
    <x v="0"/>
    <x v="522"/>
  </r>
  <r>
    <x v="3"/>
    <x v="12"/>
    <x v="4"/>
    <x v="0"/>
    <x v="0"/>
    <x v="117"/>
  </r>
  <r>
    <x v="3"/>
    <x v="13"/>
    <x v="4"/>
    <x v="0"/>
    <x v="0"/>
    <x v="696"/>
  </r>
  <r>
    <x v="3"/>
    <x v="14"/>
    <x v="4"/>
    <x v="0"/>
    <x v="0"/>
    <x v="62"/>
  </r>
  <r>
    <x v="3"/>
    <x v="15"/>
    <x v="4"/>
    <x v="0"/>
    <x v="0"/>
    <x v="36"/>
  </r>
  <r>
    <x v="3"/>
    <x v="16"/>
    <x v="4"/>
    <x v="0"/>
    <x v="0"/>
    <x v="697"/>
  </r>
  <r>
    <x v="3"/>
    <x v="17"/>
    <x v="4"/>
    <x v="0"/>
    <x v="0"/>
    <x v="698"/>
  </r>
  <r>
    <x v="3"/>
    <x v="18"/>
    <x v="4"/>
    <x v="0"/>
    <x v="0"/>
    <x v="699"/>
  </r>
  <r>
    <x v="3"/>
    <x v="19"/>
    <x v="4"/>
    <x v="0"/>
    <x v="0"/>
    <x v="700"/>
  </r>
  <r>
    <x v="3"/>
    <x v="20"/>
    <x v="4"/>
    <x v="0"/>
    <x v="0"/>
    <x v="82"/>
  </r>
  <r>
    <x v="3"/>
    <x v="21"/>
    <x v="4"/>
    <x v="0"/>
    <x v="0"/>
    <x v="74"/>
  </r>
  <r>
    <x v="3"/>
    <x v="22"/>
    <x v="4"/>
    <x v="0"/>
    <x v="0"/>
    <x v="701"/>
  </r>
  <r>
    <x v="3"/>
    <x v="23"/>
    <x v="4"/>
    <x v="0"/>
    <x v="0"/>
    <x v="702"/>
  </r>
  <r>
    <x v="3"/>
    <x v="24"/>
    <x v="4"/>
    <x v="0"/>
    <x v="0"/>
    <x v="703"/>
  </r>
  <r>
    <x v="3"/>
    <x v="25"/>
    <x v="4"/>
    <x v="0"/>
    <x v="0"/>
    <x v="704"/>
  </r>
  <r>
    <x v="3"/>
    <x v="26"/>
    <x v="4"/>
    <x v="0"/>
    <x v="0"/>
    <x v="705"/>
  </r>
  <r>
    <x v="3"/>
    <x v="27"/>
    <x v="4"/>
    <x v="0"/>
    <x v="0"/>
    <x v="706"/>
  </r>
  <r>
    <x v="3"/>
    <x v="28"/>
    <x v="4"/>
    <x v="0"/>
    <x v="0"/>
    <x v="707"/>
  </r>
  <r>
    <x v="3"/>
    <x v="29"/>
    <x v="4"/>
    <x v="0"/>
    <x v="0"/>
    <x v="708"/>
  </r>
  <r>
    <x v="3"/>
    <x v="30"/>
    <x v="4"/>
    <x v="0"/>
    <x v="0"/>
    <x v="709"/>
  </r>
  <r>
    <x v="3"/>
    <x v="31"/>
    <x v="4"/>
    <x v="0"/>
    <x v="0"/>
    <x v="710"/>
  </r>
  <r>
    <x v="3"/>
    <x v="32"/>
    <x v="4"/>
    <x v="0"/>
    <x v="0"/>
    <x v="711"/>
  </r>
  <r>
    <x v="3"/>
    <x v="33"/>
    <x v="4"/>
    <x v="0"/>
    <x v="0"/>
    <x v="712"/>
  </r>
  <r>
    <x v="3"/>
    <x v="34"/>
    <x v="4"/>
    <x v="0"/>
    <x v="0"/>
    <x v="496"/>
  </r>
  <r>
    <x v="3"/>
    <x v="35"/>
    <x v="4"/>
    <x v="0"/>
    <x v="0"/>
    <x v="713"/>
  </r>
  <r>
    <x v="3"/>
    <x v="36"/>
    <x v="4"/>
    <x v="0"/>
    <x v="0"/>
    <x v="70"/>
  </r>
  <r>
    <x v="3"/>
    <x v="37"/>
    <x v="4"/>
    <x v="0"/>
    <x v="0"/>
    <x v="158"/>
  </r>
  <r>
    <x v="3"/>
    <x v="38"/>
    <x v="4"/>
    <x v="0"/>
    <x v="0"/>
    <x v="714"/>
  </r>
  <r>
    <x v="3"/>
    <x v="39"/>
    <x v="4"/>
    <x v="0"/>
    <x v="0"/>
    <x v="125"/>
  </r>
  <r>
    <x v="3"/>
    <x v="40"/>
    <x v="4"/>
    <x v="0"/>
    <x v="0"/>
    <x v="8"/>
  </r>
  <r>
    <x v="3"/>
    <x v="41"/>
    <x v="4"/>
    <x v="0"/>
    <x v="0"/>
    <x v="715"/>
  </r>
  <r>
    <x v="4"/>
    <x v="42"/>
    <x v="4"/>
    <x v="0"/>
    <x v="0"/>
    <x v="144"/>
  </r>
  <r>
    <x v="4"/>
    <x v="43"/>
    <x v="4"/>
    <x v="0"/>
    <x v="0"/>
    <x v="580"/>
  </r>
  <r>
    <x v="4"/>
    <x v="44"/>
    <x v="4"/>
    <x v="0"/>
    <x v="0"/>
    <x v="278"/>
  </r>
  <r>
    <x v="4"/>
    <x v="45"/>
    <x v="4"/>
    <x v="0"/>
    <x v="0"/>
    <x v="93"/>
  </r>
  <r>
    <x v="4"/>
    <x v="46"/>
    <x v="4"/>
    <x v="0"/>
    <x v="0"/>
    <x v="716"/>
  </r>
  <r>
    <x v="4"/>
    <x v="47"/>
    <x v="4"/>
    <x v="0"/>
    <x v="0"/>
    <x v="52"/>
  </r>
  <r>
    <x v="4"/>
    <x v="48"/>
    <x v="4"/>
    <x v="0"/>
    <x v="0"/>
    <x v="244"/>
  </r>
  <r>
    <x v="4"/>
    <x v="49"/>
    <x v="4"/>
    <x v="0"/>
    <x v="0"/>
    <x v="673"/>
  </r>
  <r>
    <x v="5"/>
    <x v="50"/>
    <x v="4"/>
    <x v="0"/>
    <x v="0"/>
    <x v="53"/>
  </r>
  <r>
    <x v="5"/>
    <x v="51"/>
    <x v="4"/>
    <x v="0"/>
    <x v="0"/>
    <x v="717"/>
  </r>
  <r>
    <x v="5"/>
    <x v="52"/>
    <x v="4"/>
    <x v="0"/>
    <x v="0"/>
    <x v="718"/>
  </r>
  <r>
    <x v="5"/>
    <x v="53"/>
    <x v="4"/>
    <x v="0"/>
    <x v="0"/>
    <x v="158"/>
  </r>
  <r>
    <x v="5"/>
    <x v="54"/>
    <x v="4"/>
    <x v="0"/>
    <x v="0"/>
    <x v="95"/>
  </r>
  <r>
    <x v="5"/>
    <x v="55"/>
    <x v="4"/>
    <x v="0"/>
    <x v="0"/>
    <x v="574"/>
  </r>
  <r>
    <x v="5"/>
    <x v="56"/>
    <x v="4"/>
    <x v="0"/>
    <x v="0"/>
    <x v="719"/>
  </r>
  <r>
    <x v="5"/>
    <x v="57"/>
    <x v="4"/>
    <x v="0"/>
    <x v="0"/>
    <x v="720"/>
  </r>
  <r>
    <x v="5"/>
    <x v="58"/>
    <x v="4"/>
    <x v="0"/>
    <x v="0"/>
    <x v="540"/>
  </r>
  <r>
    <x v="5"/>
    <x v="59"/>
    <x v="4"/>
    <x v="0"/>
    <x v="0"/>
    <x v="170"/>
  </r>
  <r>
    <x v="5"/>
    <x v="60"/>
    <x v="4"/>
    <x v="0"/>
    <x v="0"/>
    <x v="246"/>
  </r>
  <r>
    <x v="5"/>
    <x v="61"/>
    <x v="4"/>
    <x v="0"/>
    <x v="0"/>
    <x v="366"/>
  </r>
  <r>
    <x v="5"/>
    <x v="62"/>
    <x v="4"/>
    <x v="0"/>
    <x v="0"/>
    <x v="327"/>
  </r>
  <r>
    <x v="5"/>
    <x v="63"/>
    <x v="4"/>
    <x v="0"/>
    <x v="0"/>
    <x v="721"/>
  </r>
  <r>
    <x v="6"/>
    <x v="64"/>
    <x v="4"/>
    <x v="0"/>
    <x v="0"/>
    <x v="62"/>
  </r>
  <r>
    <x v="6"/>
    <x v="65"/>
    <x v="4"/>
    <x v="0"/>
    <x v="0"/>
    <x v="256"/>
  </r>
  <r>
    <x v="6"/>
    <x v="66"/>
    <x v="4"/>
    <x v="0"/>
    <x v="0"/>
    <x v="45"/>
  </r>
  <r>
    <x v="6"/>
    <x v="67"/>
    <x v="4"/>
    <x v="0"/>
    <x v="0"/>
    <x v="214"/>
  </r>
  <r>
    <x v="6"/>
    <x v="68"/>
    <x v="4"/>
    <x v="0"/>
    <x v="0"/>
    <x v="722"/>
  </r>
  <r>
    <x v="6"/>
    <x v="69"/>
    <x v="4"/>
    <x v="0"/>
    <x v="0"/>
    <x v="149"/>
  </r>
  <r>
    <x v="6"/>
    <x v="70"/>
    <x v="4"/>
    <x v="0"/>
    <x v="0"/>
    <x v="723"/>
  </r>
  <r>
    <x v="6"/>
    <x v="71"/>
    <x v="4"/>
    <x v="0"/>
    <x v="0"/>
    <x v="724"/>
  </r>
  <r>
    <x v="7"/>
    <x v="72"/>
    <x v="4"/>
    <x v="0"/>
    <x v="0"/>
    <x v="117"/>
  </r>
  <r>
    <x v="7"/>
    <x v="73"/>
    <x v="4"/>
    <x v="0"/>
    <x v="0"/>
    <x v="117"/>
  </r>
  <r>
    <x v="7"/>
    <x v="74"/>
    <x v="4"/>
    <x v="0"/>
    <x v="0"/>
    <x v="73"/>
  </r>
  <r>
    <x v="7"/>
    <x v="75"/>
    <x v="4"/>
    <x v="0"/>
    <x v="0"/>
    <x v="725"/>
  </r>
  <r>
    <x v="7"/>
    <x v="76"/>
    <x v="4"/>
    <x v="0"/>
    <x v="0"/>
    <x v="522"/>
  </r>
  <r>
    <x v="7"/>
    <x v="77"/>
    <x v="4"/>
    <x v="0"/>
    <x v="0"/>
    <x v="191"/>
  </r>
  <r>
    <x v="7"/>
    <x v="78"/>
    <x v="4"/>
    <x v="0"/>
    <x v="0"/>
    <x v="124"/>
  </r>
  <r>
    <x v="7"/>
    <x v="79"/>
    <x v="4"/>
    <x v="0"/>
    <x v="0"/>
    <x v="170"/>
  </r>
  <r>
    <x v="7"/>
    <x v="80"/>
    <x v="4"/>
    <x v="0"/>
    <x v="0"/>
    <x v="11"/>
  </r>
  <r>
    <x v="7"/>
    <x v="81"/>
    <x v="4"/>
    <x v="0"/>
    <x v="0"/>
    <x v="227"/>
  </r>
  <r>
    <x v="7"/>
    <x v="82"/>
    <x v="4"/>
    <x v="0"/>
    <x v="0"/>
    <x v="684"/>
  </r>
  <r>
    <x v="8"/>
    <x v="83"/>
    <x v="4"/>
    <x v="0"/>
    <x v="0"/>
    <x v="391"/>
  </r>
  <r>
    <x v="8"/>
    <x v="84"/>
    <x v="4"/>
    <x v="0"/>
    <x v="0"/>
    <x v="539"/>
  </r>
  <r>
    <x v="8"/>
    <x v="85"/>
    <x v="4"/>
    <x v="0"/>
    <x v="0"/>
    <x v="504"/>
  </r>
  <r>
    <x v="8"/>
    <x v="86"/>
    <x v="4"/>
    <x v="0"/>
    <x v="0"/>
    <x v="20"/>
  </r>
  <r>
    <x v="8"/>
    <x v="87"/>
    <x v="4"/>
    <x v="0"/>
    <x v="0"/>
    <x v="726"/>
  </r>
  <r>
    <x v="8"/>
    <x v="88"/>
    <x v="4"/>
    <x v="0"/>
    <x v="0"/>
    <x v="727"/>
  </r>
  <r>
    <x v="9"/>
    <x v="89"/>
    <x v="4"/>
    <x v="0"/>
    <x v="0"/>
    <x v="728"/>
  </r>
  <r>
    <x v="9"/>
    <x v="90"/>
    <x v="4"/>
    <x v="0"/>
    <x v="0"/>
    <x v="145"/>
  </r>
  <r>
    <x v="9"/>
    <x v="91"/>
    <x v="4"/>
    <x v="0"/>
    <x v="0"/>
    <x v="729"/>
  </r>
  <r>
    <x v="0"/>
    <x v="0"/>
    <x v="4"/>
    <x v="0"/>
    <x v="1"/>
    <x v="432"/>
  </r>
  <r>
    <x v="0"/>
    <x v="1"/>
    <x v="4"/>
    <x v="0"/>
    <x v="1"/>
    <x v="730"/>
  </r>
  <r>
    <x v="0"/>
    <x v="2"/>
    <x v="4"/>
    <x v="0"/>
    <x v="1"/>
    <x v="87"/>
  </r>
  <r>
    <x v="0"/>
    <x v="3"/>
    <x v="4"/>
    <x v="0"/>
    <x v="1"/>
    <x v="731"/>
  </r>
  <r>
    <x v="1"/>
    <x v="4"/>
    <x v="4"/>
    <x v="0"/>
    <x v="1"/>
    <x v="732"/>
  </r>
  <r>
    <x v="1"/>
    <x v="5"/>
    <x v="4"/>
    <x v="0"/>
    <x v="1"/>
    <x v="295"/>
  </r>
  <r>
    <x v="1"/>
    <x v="6"/>
    <x v="4"/>
    <x v="0"/>
    <x v="1"/>
    <x v="316"/>
  </r>
  <r>
    <x v="2"/>
    <x v="7"/>
    <x v="4"/>
    <x v="0"/>
    <x v="1"/>
    <x v="733"/>
  </r>
  <r>
    <x v="2"/>
    <x v="8"/>
    <x v="4"/>
    <x v="0"/>
    <x v="1"/>
    <x v="734"/>
  </r>
  <r>
    <x v="3"/>
    <x v="9"/>
    <x v="4"/>
    <x v="0"/>
    <x v="1"/>
    <x v="92"/>
  </r>
  <r>
    <x v="3"/>
    <x v="10"/>
    <x v="4"/>
    <x v="0"/>
    <x v="1"/>
    <x v="93"/>
  </r>
  <r>
    <x v="3"/>
    <x v="11"/>
    <x v="4"/>
    <x v="0"/>
    <x v="1"/>
    <x v="148"/>
  </r>
  <r>
    <x v="3"/>
    <x v="12"/>
    <x v="4"/>
    <x v="0"/>
    <x v="1"/>
    <x v="316"/>
  </r>
  <r>
    <x v="3"/>
    <x v="13"/>
    <x v="4"/>
    <x v="0"/>
    <x v="1"/>
    <x v="601"/>
  </r>
  <r>
    <x v="3"/>
    <x v="14"/>
    <x v="4"/>
    <x v="0"/>
    <x v="1"/>
    <x v="145"/>
  </r>
  <r>
    <x v="3"/>
    <x v="15"/>
    <x v="4"/>
    <x v="0"/>
    <x v="1"/>
    <x v="230"/>
  </r>
  <r>
    <x v="3"/>
    <x v="16"/>
    <x v="4"/>
    <x v="0"/>
    <x v="1"/>
    <x v="735"/>
  </r>
  <r>
    <x v="3"/>
    <x v="17"/>
    <x v="4"/>
    <x v="0"/>
    <x v="1"/>
    <x v="736"/>
  </r>
  <r>
    <x v="3"/>
    <x v="18"/>
    <x v="4"/>
    <x v="0"/>
    <x v="1"/>
    <x v="737"/>
  </r>
  <r>
    <x v="3"/>
    <x v="19"/>
    <x v="4"/>
    <x v="0"/>
    <x v="1"/>
    <x v="738"/>
  </r>
  <r>
    <x v="3"/>
    <x v="20"/>
    <x v="4"/>
    <x v="0"/>
    <x v="1"/>
    <x v="517"/>
  </r>
  <r>
    <x v="3"/>
    <x v="21"/>
    <x v="4"/>
    <x v="0"/>
    <x v="1"/>
    <x v="175"/>
  </r>
  <r>
    <x v="3"/>
    <x v="22"/>
    <x v="4"/>
    <x v="0"/>
    <x v="1"/>
    <x v="739"/>
  </r>
  <r>
    <x v="3"/>
    <x v="23"/>
    <x v="4"/>
    <x v="0"/>
    <x v="1"/>
    <x v="740"/>
  </r>
  <r>
    <x v="3"/>
    <x v="24"/>
    <x v="4"/>
    <x v="0"/>
    <x v="1"/>
    <x v="741"/>
  </r>
  <r>
    <x v="3"/>
    <x v="25"/>
    <x v="4"/>
    <x v="0"/>
    <x v="1"/>
    <x v="742"/>
  </r>
  <r>
    <x v="3"/>
    <x v="26"/>
    <x v="4"/>
    <x v="0"/>
    <x v="1"/>
    <x v="743"/>
  </r>
  <r>
    <x v="3"/>
    <x v="27"/>
    <x v="4"/>
    <x v="0"/>
    <x v="1"/>
    <x v="744"/>
  </r>
  <r>
    <x v="3"/>
    <x v="28"/>
    <x v="4"/>
    <x v="0"/>
    <x v="1"/>
    <x v="745"/>
  </r>
  <r>
    <x v="3"/>
    <x v="29"/>
    <x v="4"/>
    <x v="0"/>
    <x v="1"/>
    <x v="746"/>
  </r>
  <r>
    <x v="3"/>
    <x v="30"/>
    <x v="4"/>
    <x v="0"/>
    <x v="1"/>
    <x v="747"/>
  </r>
  <r>
    <x v="3"/>
    <x v="31"/>
    <x v="4"/>
    <x v="0"/>
    <x v="1"/>
    <x v="748"/>
  </r>
  <r>
    <x v="3"/>
    <x v="32"/>
    <x v="4"/>
    <x v="0"/>
    <x v="1"/>
    <x v="749"/>
  </r>
  <r>
    <x v="3"/>
    <x v="33"/>
    <x v="4"/>
    <x v="0"/>
    <x v="1"/>
    <x v="750"/>
  </r>
  <r>
    <x v="3"/>
    <x v="34"/>
    <x v="4"/>
    <x v="0"/>
    <x v="1"/>
    <x v="613"/>
  </r>
  <r>
    <x v="3"/>
    <x v="35"/>
    <x v="4"/>
    <x v="0"/>
    <x v="1"/>
    <x v="751"/>
  </r>
  <r>
    <x v="3"/>
    <x v="36"/>
    <x v="4"/>
    <x v="0"/>
    <x v="1"/>
    <x v="69"/>
  </r>
  <r>
    <x v="3"/>
    <x v="37"/>
    <x v="4"/>
    <x v="0"/>
    <x v="1"/>
    <x v="199"/>
  </r>
  <r>
    <x v="3"/>
    <x v="38"/>
    <x v="4"/>
    <x v="0"/>
    <x v="1"/>
    <x v="118"/>
  </r>
  <r>
    <x v="3"/>
    <x v="39"/>
    <x v="4"/>
    <x v="0"/>
    <x v="1"/>
    <x v="70"/>
  </r>
  <r>
    <x v="3"/>
    <x v="40"/>
    <x v="4"/>
    <x v="0"/>
    <x v="1"/>
    <x v="752"/>
  </r>
  <r>
    <x v="3"/>
    <x v="41"/>
    <x v="4"/>
    <x v="0"/>
    <x v="1"/>
    <x v="48"/>
  </r>
  <r>
    <x v="4"/>
    <x v="42"/>
    <x v="4"/>
    <x v="0"/>
    <x v="1"/>
    <x v="753"/>
  </r>
  <r>
    <x v="4"/>
    <x v="43"/>
    <x v="4"/>
    <x v="0"/>
    <x v="1"/>
    <x v="754"/>
  </r>
  <r>
    <x v="4"/>
    <x v="44"/>
    <x v="4"/>
    <x v="0"/>
    <x v="1"/>
    <x v="340"/>
  </r>
  <r>
    <x v="4"/>
    <x v="45"/>
    <x v="4"/>
    <x v="0"/>
    <x v="1"/>
    <x v="124"/>
  </r>
  <r>
    <x v="4"/>
    <x v="46"/>
    <x v="4"/>
    <x v="0"/>
    <x v="1"/>
    <x v="755"/>
  </r>
  <r>
    <x v="4"/>
    <x v="47"/>
    <x v="4"/>
    <x v="0"/>
    <x v="1"/>
    <x v="474"/>
  </r>
  <r>
    <x v="4"/>
    <x v="48"/>
    <x v="4"/>
    <x v="0"/>
    <x v="1"/>
    <x v="22"/>
  </r>
  <r>
    <x v="4"/>
    <x v="49"/>
    <x v="4"/>
    <x v="0"/>
    <x v="1"/>
    <x v="756"/>
  </r>
  <r>
    <x v="5"/>
    <x v="50"/>
    <x v="4"/>
    <x v="0"/>
    <x v="1"/>
    <x v="583"/>
  </r>
  <r>
    <x v="5"/>
    <x v="51"/>
    <x v="4"/>
    <x v="0"/>
    <x v="1"/>
    <x v="340"/>
  </r>
  <r>
    <x v="5"/>
    <x v="52"/>
    <x v="4"/>
    <x v="0"/>
    <x v="1"/>
    <x v="757"/>
  </r>
  <r>
    <x v="5"/>
    <x v="53"/>
    <x v="4"/>
    <x v="0"/>
    <x v="1"/>
    <x v="39"/>
  </r>
  <r>
    <x v="5"/>
    <x v="54"/>
    <x v="4"/>
    <x v="0"/>
    <x v="1"/>
    <x v="70"/>
  </r>
  <r>
    <x v="5"/>
    <x v="55"/>
    <x v="4"/>
    <x v="0"/>
    <x v="1"/>
    <x v="42"/>
  </r>
  <r>
    <x v="5"/>
    <x v="56"/>
    <x v="4"/>
    <x v="0"/>
    <x v="1"/>
    <x v="53"/>
  </r>
  <r>
    <x v="5"/>
    <x v="57"/>
    <x v="4"/>
    <x v="0"/>
    <x v="1"/>
    <x v="758"/>
  </r>
  <r>
    <x v="5"/>
    <x v="58"/>
    <x v="4"/>
    <x v="0"/>
    <x v="1"/>
    <x v="241"/>
  </r>
  <r>
    <x v="5"/>
    <x v="59"/>
    <x v="4"/>
    <x v="0"/>
    <x v="1"/>
    <x v="192"/>
  </r>
  <r>
    <x v="5"/>
    <x v="60"/>
    <x v="4"/>
    <x v="0"/>
    <x v="1"/>
    <x v="759"/>
  </r>
  <r>
    <x v="5"/>
    <x v="61"/>
    <x v="4"/>
    <x v="0"/>
    <x v="1"/>
    <x v="585"/>
  </r>
  <r>
    <x v="5"/>
    <x v="62"/>
    <x v="4"/>
    <x v="0"/>
    <x v="1"/>
    <x v="10"/>
  </r>
  <r>
    <x v="5"/>
    <x v="63"/>
    <x v="4"/>
    <x v="0"/>
    <x v="1"/>
    <x v="760"/>
  </r>
  <r>
    <x v="6"/>
    <x v="64"/>
    <x v="4"/>
    <x v="0"/>
    <x v="1"/>
    <x v="474"/>
  </r>
  <r>
    <x v="6"/>
    <x v="65"/>
    <x v="4"/>
    <x v="0"/>
    <x v="1"/>
    <x v="761"/>
  </r>
  <r>
    <x v="6"/>
    <x v="66"/>
    <x v="4"/>
    <x v="0"/>
    <x v="1"/>
    <x v="762"/>
  </r>
  <r>
    <x v="6"/>
    <x v="67"/>
    <x v="4"/>
    <x v="0"/>
    <x v="1"/>
    <x v="763"/>
  </r>
  <r>
    <x v="6"/>
    <x v="68"/>
    <x v="4"/>
    <x v="0"/>
    <x v="1"/>
    <x v="764"/>
  </r>
  <r>
    <x v="6"/>
    <x v="69"/>
    <x v="4"/>
    <x v="0"/>
    <x v="1"/>
    <x v="138"/>
  </r>
  <r>
    <x v="6"/>
    <x v="70"/>
    <x v="4"/>
    <x v="0"/>
    <x v="1"/>
    <x v="484"/>
  </r>
  <r>
    <x v="6"/>
    <x v="71"/>
    <x v="4"/>
    <x v="0"/>
    <x v="1"/>
    <x v="765"/>
  </r>
  <r>
    <x v="7"/>
    <x v="72"/>
    <x v="4"/>
    <x v="0"/>
    <x v="1"/>
    <x v="93"/>
  </r>
  <r>
    <x v="7"/>
    <x v="73"/>
    <x v="4"/>
    <x v="0"/>
    <x v="1"/>
    <x v="95"/>
  </r>
  <r>
    <x v="7"/>
    <x v="74"/>
    <x v="4"/>
    <x v="0"/>
    <x v="1"/>
    <x v="124"/>
  </r>
  <r>
    <x v="7"/>
    <x v="75"/>
    <x v="4"/>
    <x v="0"/>
    <x v="1"/>
    <x v="635"/>
  </r>
  <r>
    <x v="7"/>
    <x v="76"/>
    <x v="4"/>
    <x v="0"/>
    <x v="1"/>
    <x v="44"/>
  </r>
  <r>
    <x v="7"/>
    <x v="77"/>
    <x v="4"/>
    <x v="0"/>
    <x v="1"/>
    <x v="274"/>
  </r>
  <r>
    <x v="7"/>
    <x v="78"/>
    <x v="4"/>
    <x v="0"/>
    <x v="1"/>
    <x v="70"/>
  </r>
  <r>
    <x v="7"/>
    <x v="79"/>
    <x v="4"/>
    <x v="0"/>
    <x v="1"/>
    <x v="192"/>
  </r>
  <r>
    <x v="7"/>
    <x v="80"/>
    <x v="4"/>
    <x v="0"/>
    <x v="1"/>
    <x v="214"/>
  </r>
  <r>
    <x v="7"/>
    <x v="81"/>
    <x v="4"/>
    <x v="0"/>
    <x v="1"/>
    <x v="766"/>
  </r>
  <r>
    <x v="7"/>
    <x v="82"/>
    <x v="4"/>
    <x v="0"/>
    <x v="1"/>
    <x v="371"/>
  </r>
  <r>
    <x v="8"/>
    <x v="83"/>
    <x v="4"/>
    <x v="0"/>
    <x v="1"/>
    <x v="335"/>
  </r>
  <r>
    <x v="8"/>
    <x v="84"/>
    <x v="4"/>
    <x v="0"/>
    <x v="1"/>
    <x v="45"/>
  </r>
  <r>
    <x v="8"/>
    <x v="85"/>
    <x v="4"/>
    <x v="0"/>
    <x v="1"/>
    <x v="767"/>
  </r>
  <r>
    <x v="8"/>
    <x v="86"/>
    <x v="4"/>
    <x v="0"/>
    <x v="1"/>
    <x v="768"/>
  </r>
  <r>
    <x v="8"/>
    <x v="87"/>
    <x v="4"/>
    <x v="0"/>
    <x v="1"/>
    <x v="769"/>
  </r>
  <r>
    <x v="8"/>
    <x v="88"/>
    <x v="4"/>
    <x v="0"/>
    <x v="1"/>
    <x v="770"/>
  </r>
  <r>
    <x v="9"/>
    <x v="89"/>
    <x v="4"/>
    <x v="0"/>
    <x v="1"/>
    <x v="45"/>
  </r>
  <r>
    <x v="9"/>
    <x v="90"/>
    <x v="4"/>
    <x v="0"/>
    <x v="1"/>
    <x v="74"/>
  </r>
  <r>
    <x v="9"/>
    <x v="91"/>
    <x v="4"/>
    <x v="0"/>
    <x v="1"/>
    <x v="771"/>
  </r>
  <r>
    <x v="0"/>
    <x v="0"/>
    <x v="4"/>
    <x v="1"/>
    <x v="0"/>
    <x v="52"/>
  </r>
  <r>
    <x v="0"/>
    <x v="1"/>
    <x v="4"/>
    <x v="1"/>
    <x v="0"/>
    <x v="162"/>
  </r>
  <r>
    <x v="0"/>
    <x v="2"/>
    <x v="4"/>
    <x v="1"/>
    <x v="0"/>
    <x v="772"/>
  </r>
  <r>
    <x v="0"/>
    <x v="3"/>
    <x v="4"/>
    <x v="1"/>
    <x v="0"/>
    <x v="773"/>
  </r>
  <r>
    <x v="1"/>
    <x v="4"/>
    <x v="4"/>
    <x v="1"/>
    <x v="0"/>
    <x v="65"/>
  </r>
  <r>
    <x v="1"/>
    <x v="5"/>
    <x v="4"/>
    <x v="1"/>
    <x v="0"/>
    <x v="175"/>
  </r>
  <r>
    <x v="1"/>
    <x v="6"/>
    <x v="4"/>
    <x v="1"/>
    <x v="0"/>
    <x v="44"/>
  </r>
  <r>
    <x v="2"/>
    <x v="7"/>
    <x v="4"/>
    <x v="1"/>
    <x v="0"/>
    <x v="774"/>
  </r>
  <r>
    <x v="2"/>
    <x v="8"/>
    <x v="4"/>
    <x v="1"/>
    <x v="0"/>
    <x v="775"/>
  </r>
  <r>
    <x v="3"/>
    <x v="9"/>
    <x v="4"/>
    <x v="1"/>
    <x v="0"/>
    <x v="70"/>
  </r>
  <r>
    <x v="3"/>
    <x v="10"/>
    <x v="4"/>
    <x v="1"/>
    <x v="0"/>
    <x v="116"/>
  </r>
  <r>
    <x v="3"/>
    <x v="11"/>
    <x v="4"/>
    <x v="1"/>
    <x v="0"/>
    <x v="12"/>
  </r>
  <r>
    <x v="3"/>
    <x v="12"/>
    <x v="4"/>
    <x v="1"/>
    <x v="0"/>
    <x v="87"/>
  </r>
  <r>
    <x v="3"/>
    <x v="13"/>
    <x v="4"/>
    <x v="1"/>
    <x v="0"/>
    <x v="776"/>
  </r>
  <r>
    <x v="3"/>
    <x v="14"/>
    <x v="4"/>
    <x v="1"/>
    <x v="0"/>
    <x v="87"/>
  </r>
  <r>
    <x v="3"/>
    <x v="15"/>
    <x v="4"/>
    <x v="1"/>
    <x v="0"/>
    <x v="21"/>
  </r>
  <r>
    <x v="3"/>
    <x v="16"/>
    <x v="4"/>
    <x v="1"/>
    <x v="0"/>
    <x v="777"/>
  </r>
  <r>
    <x v="3"/>
    <x v="17"/>
    <x v="4"/>
    <x v="1"/>
    <x v="0"/>
    <x v="778"/>
  </r>
  <r>
    <x v="3"/>
    <x v="18"/>
    <x v="4"/>
    <x v="1"/>
    <x v="0"/>
    <x v="779"/>
  </r>
  <r>
    <x v="3"/>
    <x v="19"/>
    <x v="4"/>
    <x v="1"/>
    <x v="0"/>
    <x v="780"/>
  </r>
  <r>
    <x v="3"/>
    <x v="20"/>
    <x v="4"/>
    <x v="1"/>
    <x v="0"/>
    <x v="225"/>
  </r>
  <r>
    <x v="3"/>
    <x v="21"/>
    <x v="4"/>
    <x v="1"/>
    <x v="0"/>
    <x v="87"/>
  </r>
  <r>
    <x v="3"/>
    <x v="22"/>
    <x v="4"/>
    <x v="1"/>
    <x v="0"/>
    <x v="781"/>
  </r>
  <r>
    <x v="3"/>
    <x v="23"/>
    <x v="4"/>
    <x v="1"/>
    <x v="0"/>
    <x v="281"/>
  </r>
  <r>
    <x v="3"/>
    <x v="24"/>
    <x v="4"/>
    <x v="1"/>
    <x v="0"/>
    <x v="782"/>
  </r>
  <r>
    <x v="3"/>
    <x v="25"/>
    <x v="4"/>
    <x v="1"/>
    <x v="0"/>
    <x v="503"/>
  </r>
  <r>
    <x v="3"/>
    <x v="26"/>
    <x v="4"/>
    <x v="1"/>
    <x v="0"/>
    <x v="783"/>
  </r>
  <r>
    <x v="3"/>
    <x v="27"/>
    <x v="4"/>
    <x v="1"/>
    <x v="0"/>
    <x v="784"/>
  </r>
  <r>
    <x v="3"/>
    <x v="28"/>
    <x v="4"/>
    <x v="1"/>
    <x v="0"/>
    <x v="785"/>
  </r>
  <r>
    <x v="3"/>
    <x v="29"/>
    <x v="4"/>
    <x v="1"/>
    <x v="0"/>
    <x v="786"/>
  </r>
  <r>
    <x v="3"/>
    <x v="30"/>
    <x v="4"/>
    <x v="1"/>
    <x v="0"/>
    <x v="787"/>
  </r>
  <r>
    <x v="3"/>
    <x v="31"/>
    <x v="4"/>
    <x v="1"/>
    <x v="0"/>
    <x v="193"/>
  </r>
  <r>
    <x v="3"/>
    <x v="32"/>
    <x v="4"/>
    <x v="1"/>
    <x v="0"/>
    <x v="788"/>
  </r>
  <r>
    <x v="3"/>
    <x v="33"/>
    <x v="4"/>
    <x v="1"/>
    <x v="0"/>
    <x v="789"/>
  </r>
  <r>
    <x v="3"/>
    <x v="34"/>
    <x v="4"/>
    <x v="1"/>
    <x v="0"/>
    <x v="790"/>
  </r>
  <r>
    <x v="3"/>
    <x v="35"/>
    <x v="4"/>
    <x v="1"/>
    <x v="0"/>
    <x v="783"/>
  </r>
  <r>
    <x v="3"/>
    <x v="36"/>
    <x v="4"/>
    <x v="1"/>
    <x v="0"/>
    <x v="175"/>
  </r>
  <r>
    <x v="3"/>
    <x v="37"/>
    <x v="4"/>
    <x v="1"/>
    <x v="0"/>
    <x v="281"/>
  </r>
  <r>
    <x v="3"/>
    <x v="38"/>
    <x v="4"/>
    <x v="1"/>
    <x v="0"/>
    <x v="791"/>
  </r>
  <r>
    <x v="3"/>
    <x v="39"/>
    <x v="4"/>
    <x v="1"/>
    <x v="0"/>
    <x v="168"/>
  </r>
  <r>
    <x v="3"/>
    <x v="40"/>
    <x v="4"/>
    <x v="1"/>
    <x v="0"/>
    <x v="168"/>
  </r>
  <r>
    <x v="3"/>
    <x v="41"/>
    <x v="4"/>
    <x v="1"/>
    <x v="0"/>
    <x v="792"/>
  </r>
  <r>
    <x v="4"/>
    <x v="42"/>
    <x v="4"/>
    <x v="1"/>
    <x v="0"/>
    <x v="793"/>
  </r>
  <r>
    <x v="4"/>
    <x v="43"/>
    <x v="4"/>
    <x v="1"/>
    <x v="0"/>
    <x v="175"/>
  </r>
  <r>
    <x v="4"/>
    <x v="44"/>
    <x v="4"/>
    <x v="1"/>
    <x v="0"/>
    <x v="371"/>
  </r>
  <r>
    <x v="4"/>
    <x v="45"/>
    <x v="4"/>
    <x v="1"/>
    <x v="0"/>
    <x v="69"/>
  </r>
  <r>
    <x v="4"/>
    <x v="46"/>
    <x v="4"/>
    <x v="1"/>
    <x v="0"/>
    <x v="794"/>
  </r>
  <r>
    <x v="4"/>
    <x v="47"/>
    <x v="4"/>
    <x v="1"/>
    <x v="0"/>
    <x v="170"/>
  </r>
  <r>
    <x v="4"/>
    <x v="48"/>
    <x v="4"/>
    <x v="1"/>
    <x v="0"/>
    <x v="175"/>
  </r>
  <r>
    <x v="4"/>
    <x v="49"/>
    <x v="4"/>
    <x v="1"/>
    <x v="0"/>
    <x v="437"/>
  </r>
  <r>
    <x v="5"/>
    <x v="50"/>
    <x v="4"/>
    <x v="1"/>
    <x v="0"/>
    <x v="333"/>
  </r>
  <r>
    <x v="5"/>
    <x v="51"/>
    <x v="4"/>
    <x v="1"/>
    <x v="0"/>
    <x v="200"/>
  </r>
  <r>
    <x v="5"/>
    <x v="52"/>
    <x v="4"/>
    <x v="1"/>
    <x v="0"/>
    <x v="38"/>
  </r>
  <r>
    <x v="5"/>
    <x v="53"/>
    <x v="4"/>
    <x v="1"/>
    <x v="0"/>
    <x v="44"/>
  </r>
  <r>
    <x v="5"/>
    <x v="54"/>
    <x v="4"/>
    <x v="1"/>
    <x v="0"/>
    <x v="87"/>
  </r>
  <r>
    <x v="5"/>
    <x v="55"/>
    <x v="4"/>
    <x v="1"/>
    <x v="0"/>
    <x v="333"/>
  </r>
  <r>
    <x v="5"/>
    <x v="56"/>
    <x v="4"/>
    <x v="1"/>
    <x v="0"/>
    <x v="763"/>
  </r>
  <r>
    <x v="5"/>
    <x v="57"/>
    <x v="4"/>
    <x v="1"/>
    <x v="0"/>
    <x v="795"/>
  </r>
  <r>
    <x v="5"/>
    <x v="58"/>
    <x v="4"/>
    <x v="1"/>
    <x v="0"/>
    <x v="5"/>
  </r>
  <r>
    <x v="5"/>
    <x v="59"/>
    <x v="4"/>
    <x v="1"/>
    <x v="0"/>
    <x v="136"/>
  </r>
  <r>
    <x v="5"/>
    <x v="60"/>
    <x v="4"/>
    <x v="1"/>
    <x v="0"/>
    <x v="424"/>
  </r>
  <r>
    <x v="5"/>
    <x v="61"/>
    <x v="4"/>
    <x v="1"/>
    <x v="0"/>
    <x v="423"/>
  </r>
  <r>
    <x v="5"/>
    <x v="62"/>
    <x v="4"/>
    <x v="1"/>
    <x v="0"/>
    <x v="167"/>
  </r>
  <r>
    <x v="5"/>
    <x v="63"/>
    <x v="4"/>
    <x v="1"/>
    <x v="0"/>
    <x v="796"/>
  </r>
  <r>
    <x v="6"/>
    <x v="64"/>
    <x v="4"/>
    <x v="1"/>
    <x v="0"/>
    <x v="374"/>
  </r>
  <r>
    <x v="6"/>
    <x v="65"/>
    <x v="4"/>
    <x v="1"/>
    <x v="0"/>
    <x v="393"/>
  </r>
  <r>
    <x v="6"/>
    <x v="66"/>
    <x v="4"/>
    <x v="1"/>
    <x v="0"/>
    <x v="323"/>
  </r>
  <r>
    <x v="6"/>
    <x v="67"/>
    <x v="4"/>
    <x v="1"/>
    <x v="0"/>
    <x v="236"/>
  </r>
  <r>
    <x v="6"/>
    <x v="68"/>
    <x v="4"/>
    <x v="1"/>
    <x v="0"/>
    <x v="797"/>
  </r>
  <r>
    <x v="6"/>
    <x v="69"/>
    <x v="4"/>
    <x v="1"/>
    <x v="0"/>
    <x v="167"/>
  </r>
  <r>
    <x v="6"/>
    <x v="70"/>
    <x v="4"/>
    <x v="1"/>
    <x v="0"/>
    <x v="36"/>
  </r>
  <r>
    <x v="6"/>
    <x v="71"/>
    <x v="4"/>
    <x v="1"/>
    <x v="0"/>
    <x v="262"/>
  </r>
  <r>
    <x v="7"/>
    <x v="72"/>
    <x v="4"/>
    <x v="1"/>
    <x v="0"/>
    <x v="87"/>
  </r>
  <r>
    <x v="7"/>
    <x v="73"/>
    <x v="4"/>
    <x v="1"/>
    <x v="0"/>
    <x v="170"/>
  </r>
  <r>
    <x v="7"/>
    <x v="74"/>
    <x v="4"/>
    <x v="1"/>
    <x v="0"/>
    <x v="74"/>
  </r>
  <r>
    <x v="7"/>
    <x v="75"/>
    <x v="4"/>
    <x v="1"/>
    <x v="0"/>
    <x v="763"/>
  </r>
  <r>
    <x v="7"/>
    <x v="76"/>
    <x v="4"/>
    <x v="1"/>
    <x v="0"/>
    <x v="74"/>
  </r>
  <r>
    <x v="7"/>
    <x v="77"/>
    <x v="4"/>
    <x v="1"/>
    <x v="0"/>
    <x v="12"/>
  </r>
  <r>
    <x v="7"/>
    <x v="78"/>
    <x v="4"/>
    <x v="1"/>
    <x v="0"/>
    <x v="170"/>
  </r>
  <r>
    <x v="7"/>
    <x v="79"/>
    <x v="4"/>
    <x v="1"/>
    <x v="0"/>
    <x v="175"/>
  </r>
  <r>
    <x v="7"/>
    <x v="80"/>
    <x v="4"/>
    <x v="1"/>
    <x v="0"/>
    <x v="175"/>
  </r>
  <r>
    <x v="7"/>
    <x v="81"/>
    <x v="4"/>
    <x v="1"/>
    <x v="0"/>
    <x v="132"/>
  </r>
  <r>
    <x v="7"/>
    <x v="82"/>
    <x v="4"/>
    <x v="1"/>
    <x v="0"/>
    <x v="96"/>
  </r>
  <r>
    <x v="8"/>
    <x v="83"/>
    <x v="4"/>
    <x v="1"/>
    <x v="0"/>
    <x v="585"/>
  </r>
  <r>
    <x v="8"/>
    <x v="84"/>
    <x v="4"/>
    <x v="1"/>
    <x v="0"/>
    <x v="145"/>
  </r>
  <r>
    <x v="8"/>
    <x v="85"/>
    <x v="4"/>
    <x v="1"/>
    <x v="0"/>
    <x v="798"/>
  </r>
  <r>
    <x v="8"/>
    <x v="86"/>
    <x v="4"/>
    <x v="1"/>
    <x v="0"/>
    <x v="539"/>
  </r>
  <r>
    <x v="8"/>
    <x v="87"/>
    <x v="4"/>
    <x v="1"/>
    <x v="0"/>
    <x v="677"/>
  </r>
  <r>
    <x v="8"/>
    <x v="88"/>
    <x v="4"/>
    <x v="1"/>
    <x v="0"/>
    <x v="217"/>
  </r>
  <r>
    <x v="9"/>
    <x v="89"/>
    <x v="4"/>
    <x v="1"/>
    <x v="0"/>
    <x v="623"/>
  </r>
  <r>
    <x v="9"/>
    <x v="90"/>
    <x v="4"/>
    <x v="1"/>
    <x v="0"/>
    <x v="87"/>
  </r>
  <r>
    <x v="9"/>
    <x v="91"/>
    <x v="4"/>
    <x v="1"/>
    <x v="0"/>
    <x v="209"/>
  </r>
  <r>
    <x v="0"/>
    <x v="0"/>
    <x v="4"/>
    <x v="1"/>
    <x v="1"/>
    <x v="136"/>
  </r>
  <r>
    <x v="0"/>
    <x v="1"/>
    <x v="4"/>
    <x v="1"/>
    <x v="1"/>
    <x v="799"/>
  </r>
  <r>
    <x v="0"/>
    <x v="2"/>
    <x v="4"/>
    <x v="1"/>
    <x v="1"/>
    <x v="800"/>
  </r>
  <r>
    <x v="0"/>
    <x v="3"/>
    <x v="4"/>
    <x v="1"/>
    <x v="1"/>
    <x v="801"/>
  </r>
  <r>
    <x v="1"/>
    <x v="4"/>
    <x v="4"/>
    <x v="1"/>
    <x v="1"/>
    <x v="520"/>
  </r>
  <r>
    <x v="1"/>
    <x v="5"/>
    <x v="4"/>
    <x v="1"/>
    <x v="1"/>
    <x v="175"/>
  </r>
  <r>
    <x v="1"/>
    <x v="6"/>
    <x v="4"/>
    <x v="1"/>
    <x v="1"/>
    <x v="175"/>
  </r>
  <r>
    <x v="2"/>
    <x v="7"/>
    <x v="4"/>
    <x v="1"/>
    <x v="1"/>
    <x v="802"/>
  </r>
  <r>
    <x v="2"/>
    <x v="8"/>
    <x v="4"/>
    <x v="1"/>
    <x v="1"/>
    <x v="43"/>
  </r>
  <r>
    <x v="3"/>
    <x v="9"/>
    <x v="4"/>
    <x v="1"/>
    <x v="1"/>
    <x v="87"/>
  </r>
  <r>
    <x v="3"/>
    <x v="10"/>
    <x v="4"/>
    <x v="1"/>
    <x v="1"/>
    <x v="87"/>
  </r>
  <r>
    <x v="3"/>
    <x v="11"/>
    <x v="4"/>
    <x v="1"/>
    <x v="1"/>
    <x v="192"/>
  </r>
  <r>
    <x v="3"/>
    <x v="12"/>
    <x v="4"/>
    <x v="1"/>
    <x v="1"/>
    <x v="175"/>
  </r>
  <r>
    <x v="3"/>
    <x v="13"/>
    <x v="4"/>
    <x v="1"/>
    <x v="1"/>
    <x v="803"/>
  </r>
  <r>
    <x v="3"/>
    <x v="14"/>
    <x v="4"/>
    <x v="1"/>
    <x v="1"/>
    <x v="87"/>
  </r>
  <r>
    <x v="3"/>
    <x v="15"/>
    <x v="4"/>
    <x v="1"/>
    <x v="1"/>
    <x v="87"/>
  </r>
  <r>
    <x v="3"/>
    <x v="16"/>
    <x v="4"/>
    <x v="1"/>
    <x v="1"/>
    <x v="804"/>
  </r>
  <r>
    <x v="3"/>
    <x v="17"/>
    <x v="4"/>
    <x v="1"/>
    <x v="1"/>
    <x v="805"/>
  </r>
  <r>
    <x v="3"/>
    <x v="18"/>
    <x v="4"/>
    <x v="1"/>
    <x v="1"/>
    <x v="806"/>
  </r>
  <r>
    <x v="3"/>
    <x v="19"/>
    <x v="4"/>
    <x v="1"/>
    <x v="1"/>
    <x v="73"/>
  </r>
  <r>
    <x v="3"/>
    <x v="20"/>
    <x v="4"/>
    <x v="1"/>
    <x v="1"/>
    <x v="539"/>
  </r>
  <r>
    <x v="3"/>
    <x v="21"/>
    <x v="4"/>
    <x v="1"/>
    <x v="1"/>
    <x v="175"/>
  </r>
  <r>
    <x v="3"/>
    <x v="22"/>
    <x v="4"/>
    <x v="1"/>
    <x v="1"/>
    <x v="678"/>
  </r>
  <r>
    <x v="3"/>
    <x v="23"/>
    <x v="4"/>
    <x v="1"/>
    <x v="1"/>
    <x v="87"/>
  </r>
  <r>
    <x v="3"/>
    <x v="24"/>
    <x v="4"/>
    <x v="1"/>
    <x v="1"/>
    <x v="517"/>
  </r>
  <r>
    <x v="3"/>
    <x v="25"/>
    <x v="4"/>
    <x v="1"/>
    <x v="1"/>
    <x v="803"/>
  </r>
  <r>
    <x v="3"/>
    <x v="26"/>
    <x v="4"/>
    <x v="1"/>
    <x v="1"/>
    <x v="127"/>
  </r>
  <r>
    <x v="3"/>
    <x v="27"/>
    <x v="4"/>
    <x v="1"/>
    <x v="1"/>
    <x v="386"/>
  </r>
  <r>
    <x v="3"/>
    <x v="28"/>
    <x v="4"/>
    <x v="1"/>
    <x v="1"/>
    <x v="807"/>
  </r>
  <r>
    <x v="3"/>
    <x v="29"/>
    <x v="4"/>
    <x v="1"/>
    <x v="1"/>
    <x v="166"/>
  </r>
  <r>
    <x v="3"/>
    <x v="30"/>
    <x v="4"/>
    <x v="1"/>
    <x v="1"/>
    <x v="808"/>
  </r>
  <r>
    <x v="3"/>
    <x v="31"/>
    <x v="4"/>
    <x v="1"/>
    <x v="1"/>
    <x v="476"/>
  </r>
  <r>
    <x v="3"/>
    <x v="32"/>
    <x v="4"/>
    <x v="1"/>
    <x v="1"/>
    <x v="809"/>
  </r>
  <r>
    <x v="3"/>
    <x v="33"/>
    <x v="4"/>
    <x v="1"/>
    <x v="1"/>
    <x v="810"/>
  </r>
  <r>
    <x v="3"/>
    <x v="34"/>
    <x v="4"/>
    <x v="1"/>
    <x v="1"/>
    <x v="269"/>
  </r>
  <r>
    <x v="3"/>
    <x v="35"/>
    <x v="4"/>
    <x v="1"/>
    <x v="1"/>
    <x v="811"/>
  </r>
  <r>
    <x v="3"/>
    <x v="36"/>
    <x v="4"/>
    <x v="1"/>
    <x v="1"/>
    <x v="87"/>
  </r>
  <r>
    <x v="3"/>
    <x v="37"/>
    <x v="4"/>
    <x v="1"/>
    <x v="1"/>
    <x v="87"/>
  </r>
  <r>
    <x v="3"/>
    <x v="38"/>
    <x v="4"/>
    <x v="1"/>
    <x v="1"/>
    <x v="718"/>
  </r>
  <r>
    <x v="3"/>
    <x v="39"/>
    <x v="4"/>
    <x v="1"/>
    <x v="1"/>
    <x v="87"/>
  </r>
  <r>
    <x v="3"/>
    <x v="40"/>
    <x v="4"/>
    <x v="1"/>
    <x v="1"/>
    <x v="87"/>
  </r>
  <r>
    <x v="3"/>
    <x v="41"/>
    <x v="4"/>
    <x v="1"/>
    <x v="1"/>
    <x v="170"/>
  </r>
  <r>
    <x v="4"/>
    <x v="42"/>
    <x v="4"/>
    <x v="1"/>
    <x v="1"/>
    <x v="124"/>
  </r>
  <r>
    <x v="4"/>
    <x v="43"/>
    <x v="4"/>
    <x v="1"/>
    <x v="1"/>
    <x v="175"/>
  </r>
  <r>
    <x v="4"/>
    <x v="44"/>
    <x v="4"/>
    <x v="1"/>
    <x v="1"/>
    <x v="21"/>
  </r>
  <r>
    <x v="4"/>
    <x v="45"/>
    <x v="4"/>
    <x v="1"/>
    <x v="1"/>
    <x v="87"/>
  </r>
  <r>
    <x v="4"/>
    <x v="46"/>
    <x v="4"/>
    <x v="1"/>
    <x v="1"/>
    <x v="93"/>
  </r>
  <r>
    <x v="4"/>
    <x v="47"/>
    <x v="4"/>
    <x v="1"/>
    <x v="1"/>
    <x v="21"/>
  </r>
  <r>
    <x v="4"/>
    <x v="48"/>
    <x v="4"/>
    <x v="1"/>
    <x v="1"/>
    <x v="175"/>
  </r>
  <r>
    <x v="4"/>
    <x v="49"/>
    <x v="4"/>
    <x v="1"/>
    <x v="1"/>
    <x v="87"/>
  </r>
  <r>
    <x v="5"/>
    <x v="50"/>
    <x v="4"/>
    <x v="1"/>
    <x v="1"/>
    <x v="21"/>
  </r>
  <r>
    <x v="5"/>
    <x v="51"/>
    <x v="4"/>
    <x v="1"/>
    <x v="1"/>
    <x v="87"/>
  </r>
  <r>
    <x v="5"/>
    <x v="52"/>
    <x v="4"/>
    <x v="1"/>
    <x v="1"/>
    <x v="87"/>
  </r>
  <r>
    <x v="5"/>
    <x v="53"/>
    <x v="4"/>
    <x v="1"/>
    <x v="1"/>
    <x v="87"/>
  </r>
  <r>
    <x v="5"/>
    <x v="54"/>
    <x v="4"/>
    <x v="1"/>
    <x v="1"/>
    <x v="87"/>
  </r>
  <r>
    <x v="5"/>
    <x v="55"/>
    <x v="4"/>
    <x v="1"/>
    <x v="1"/>
    <x v="87"/>
  </r>
  <r>
    <x v="5"/>
    <x v="56"/>
    <x v="4"/>
    <x v="1"/>
    <x v="1"/>
    <x v="69"/>
  </r>
  <r>
    <x v="5"/>
    <x v="57"/>
    <x v="4"/>
    <x v="1"/>
    <x v="1"/>
    <x v="262"/>
  </r>
  <r>
    <x v="5"/>
    <x v="58"/>
    <x v="4"/>
    <x v="1"/>
    <x v="1"/>
    <x v="547"/>
  </r>
  <r>
    <x v="5"/>
    <x v="59"/>
    <x v="4"/>
    <x v="1"/>
    <x v="1"/>
    <x v="87"/>
  </r>
  <r>
    <x v="5"/>
    <x v="60"/>
    <x v="4"/>
    <x v="1"/>
    <x v="1"/>
    <x v="281"/>
  </r>
  <r>
    <x v="5"/>
    <x v="61"/>
    <x v="4"/>
    <x v="1"/>
    <x v="1"/>
    <x v="170"/>
  </r>
  <r>
    <x v="5"/>
    <x v="62"/>
    <x v="4"/>
    <x v="1"/>
    <x v="1"/>
    <x v="87"/>
  </r>
  <r>
    <x v="5"/>
    <x v="63"/>
    <x v="4"/>
    <x v="1"/>
    <x v="1"/>
    <x v="812"/>
  </r>
  <r>
    <x v="6"/>
    <x v="64"/>
    <x v="4"/>
    <x v="1"/>
    <x v="1"/>
    <x v="74"/>
  </r>
  <r>
    <x v="6"/>
    <x v="65"/>
    <x v="4"/>
    <x v="1"/>
    <x v="1"/>
    <x v="146"/>
  </r>
  <r>
    <x v="6"/>
    <x v="66"/>
    <x v="4"/>
    <x v="1"/>
    <x v="1"/>
    <x v="236"/>
  </r>
  <r>
    <x v="6"/>
    <x v="67"/>
    <x v="4"/>
    <x v="1"/>
    <x v="1"/>
    <x v="87"/>
  </r>
  <r>
    <x v="6"/>
    <x v="68"/>
    <x v="4"/>
    <x v="1"/>
    <x v="1"/>
    <x v="137"/>
  </r>
  <r>
    <x v="6"/>
    <x v="69"/>
    <x v="4"/>
    <x v="1"/>
    <x v="1"/>
    <x v="170"/>
  </r>
  <r>
    <x v="6"/>
    <x v="70"/>
    <x v="4"/>
    <x v="1"/>
    <x v="1"/>
    <x v="201"/>
  </r>
  <r>
    <x v="6"/>
    <x v="71"/>
    <x v="4"/>
    <x v="1"/>
    <x v="1"/>
    <x v="95"/>
  </r>
  <r>
    <x v="7"/>
    <x v="72"/>
    <x v="4"/>
    <x v="1"/>
    <x v="1"/>
    <x v="87"/>
  </r>
  <r>
    <x v="7"/>
    <x v="73"/>
    <x v="4"/>
    <x v="1"/>
    <x v="1"/>
    <x v="175"/>
  </r>
  <r>
    <x v="7"/>
    <x v="74"/>
    <x v="4"/>
    <x v="1"/>
    <x v="1"/>
    <x v="87"/>
  </r>
  <r>
    <x v="7"/>
    <x v="75"/>
    <x v="4"/>
    <x v="1"/>
    <x v="1"/>
    <x v="136"/>
  </r>
  <r>
    <x v="7"/>
    <x v="76"/>
    <x v="4"/>
    <x v="1"/>
    <x v="1"/>
    <x v="175"/>
  </r>
  <r>
    <x v="7"/>
    <x v="77"/>
    <x v="4"/>
    <x v="1"/>
    <x v="1"/>
    <x v="87"/>
  </r>
  <r>
    <x v="7"/>
    <x v="78"/>
    <x v="4"/>
    <x v="1"/>
    <x v="1"/>
    <x v="170"/>
  </r>
  <r>
    <x v="7"/>
    <x v="79"/>
    <x v="4"/>
    <x v="1"/>
    <x v="1"/>
    <x v="87"/>
  </r>
  <r>
    <x v="7"/>
    <x v="80"/>
    <x v="4"/>
    <x v="1"/>
    <x v="1"/>
    <x v="175"/>
  </r>
  <r>
    <x v="7"/>
    <x v="81"/>
    <x v="4"/>
    <x v="1"/>
    <x v="1"/>
    <x v="116"/>
  </r>
  <r>
    <x v="7"/>
    <x v="82"/>
    <x v="4"/>
    <x v="1"/>
    <x v="1"/>
    <x v="87"/>
  </r>
  <r>
    <x v="8"/>
    <x v="83"/>
    <x v="4"/>
    <x v="1"/>
    <x v="1"/>
    <x v="5"/>
  </r>
  <r>
    <x v="8"/>
    <x v="84"/>
    <x v="4"/>
    <x v="1"/>
    <x v="1"/>
    <x v="136"/>
  </r>
  <r>
    <x v="8"/>
    <x v="85"/>
    <x v="4"/>
    <x v="1"/>
    <x v="1"/>
    <x v="813"/>
  </r>
  <r>
    <x v="8"/>
    <x v="86"/>
    <x v="4"/>
    <x v="1"/>
    <x v="1"/>
    <x v="814"/>
  </r>
  <r>
    <x v="8"/>
    <x v="87"/>
    <x v="4"/>
    <x v="1"/>
    <x v="1"/>
    <x v="815"/>
  </r>
  <r>
    <x v="8"/>
    <x v="88"/>
    <x v="4"/>
    <x v="1"/>
    <x v="1"/>
    <x v="816"/>
  </r>
  <r>
    <x v="9"/>
    <x v="89"/>
    <x v="4"/>
    <x v="1"/>
    <x v="1"/>
    <x v="87"/>
  </r>
  <r>
    <x v="9"/>
    <x v="90"/>
    <x v="4"/>
    <x v="1"/>
    <x v="1"/>
    <x v="87"/>
  </r>
  <r>
    <x v="9"/>
    <x v="91"/>
    <x v="4"/>
    <x v="1"/>
    <x v="1"/>
    <x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3B218-135F-9C4B-B013-53829E864C6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6:F44" firstHeaderRow="1" firstDataRow="3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h="1"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4"/>
    <field x="3"/>
  </colFields>
  <colItems count="5">
    <i>
      <x/>
      <x v="1"/>
    </i>
    <i t="default">
      <x/>
    </i>
    <i>
      <x v="1"/>
      <x v="1"/>
    </i>
    <i t="default">
      <x v="1"/>
    </i>
    <i t="grand">
      <x/>
    </i>
  </colItems>
  <dataFields count="1">
    <dataField name="Sum of Headcount" fld="5" baseField="0" baseItem="0" numFmtId="165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4" type="button" dataOnly="0" labelOnly="1" outline="0" axis="axisCol" fieldPosition="0"/>
    </format>
    <format dxfId="9">
      <pivotArea field="3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4" count="0" defaultSubtotal="1"/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2">
          <reference field="3" count="0"/>
          <reference field="4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3" count="0"/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35360-285A-A54C-9EF5-EE31693EB06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6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" count="0"/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8D303-1071-2447-948F-DC53649385D2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D32" firstHeaderRow="1" firstDataRow="2" firstDataCol="1" rowPageCount="1" colPageCount="1"/>
  <pivotFields count="6"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D7734-1F10-804B-8EE1-4C666FC47F4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46FDE-4C0B-7647-A4D5-FA76439BB5F5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E42" firstHeaderRow="1" firstDataRow="2" firstDataCol="2" rowPageCount="1" colPageCount="1"/>
  <pivotFields count="6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h="1" x="1"/>
        <item h="1" x="2"/>
        <item h="1" x="3"/>
        <item x="4"/>
      </items>
    </pivotField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dataField="1" compact="0" numFmtId="165" outline="0" showAll="0" defaultSubtotal="0"/>
  </pivotFields>
  <rowFields count="2">
    <field x="4"/>
    <field x="0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B65AC-9F9A-5D4A-A08F-CCEB2D91361E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D9" firstHeaderRow="1" firstDataRow="2" firstDataCol="1" rowPageCount="1" colPageCount="1"/>
  <pivotFields count="6">
    <pivotField compact="0" outline="0" showAll="0"/>
    <pivotField compact="0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530A0-133B-F042-BB85-2515F057A9C0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2:I77" firstHeaderRow="1" firstDataRow="3" firstDataCol="2"/>
  <pivotFields count="6">
    <pivotField axis="axisRow" compact="0" outline="0" subtotalTop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/>
    <pivotField axis="axisCol" compact="0" outline="0" subtotalTop="0" showAll="0">
      <items count="6">
        <item x="0"/>
        <item h="1" x="1"/>
        <item h="1" x="2"/>
        <item h="1" x="3"/>
        <item x="4"/>
        <item t="default"/>
      </items>
    </pivotField>
    <pivotField axis="axisCol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dataField="1" compact="0" numFmtId="165" outline="0" subtotalTop="0" showAll="0"/>
  </pivotFields>
  <rowFields count="2">
    <field x="4"/>
    <field x="0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1E949-21CE-7943-91D4-F1BB544D3047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0:H45" firstHeaderRow="1" firstDataRow="3" firstDataCol="1"/>
  <pivotFields count="6">
    <pivotField compact="0" outline="0" showAll="0"/>
    <pivotField compact="0" outline="0" showAll="0"/>
    <pivotField axis="axisCol" compact="0" outline="0" showAll="0">
      <items count="6">
        <item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</pivotFields>
  <rowFields count="1">
    <field x="4"/>
  </rowFields>
  <rowItems count="3">
    <i>
      <x/>
    </i>
    <i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23CD6-8AA6-EB48-A6A2-DD121CA8C3C7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H33" firstHeaderRow="1" firstDataRow="3" firstDataCol="1"/>
  <pivotFields count="6"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Col" compact="0" outline="0" showAll="0">
      <items count="6">
        <item x="0"/>
        <item h="1" x="1"/>
        <item h="1" x="2"/>
        <item h="1"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EB7A1-3B11-B94F-942C-BFCB66AE02FE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C19A0-6A75-444C-9BAC-E6FA0127A007}" name="PivotTable1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5" firstHeaderRow="1" firstDataRow="2" firstDataCol="2"/>
  <pivotFields count="6">
    <pivotField compact="0" outline="0" showAll="0" defaultSubtotal="0"/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dataField="1" compact="0" numFmtId="165" outline="0" showAll="0" defaultSubtotal="0"/>
  </pivotFields>
  <rowFields count="2">
    <field x="4"/>
    <field x="2"/>
  </rowFields>
  <rowItems count="11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765FC-D998-104A-A43D-572DDF51D205}" name="PivotTable1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D40" firstHeaderRow="1" firstDataRow="2" firstDataCol="1"/>
  <pivotFields count="6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D71A5-2D5E-6B40-B8A5-76FF681E17FC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4:AK37" firstHeaderRow="1" firstDataRow="3" firstDataCol="2"/>
  <pivotFields count="6">
    <pivotField axis="axisRow" compact="0" outline="0" subtotalTop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/>
    <pivotField axis="axisCol" compact="0" outline="0" subtotalTop="0" showAll="0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dataField="1" compact="0" numFmtId="165" outline="0" subtotalTop="0" showAll="0"/>
  </pivotFields>
  <rowFields count="2">
    <field x="0"/>
    <field x="4"/>
  </rowFields>
  <rowItems count="31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 t="grand">
      <x/>
    </i>
  </rowItems>
  <colFields count="2">
    <field x="2"/>
    <field x="3"/>
  </colFields>
  <colItems count="16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 t="grand">
      <x/>
    </i>
  </colItems>
  <dataFields count="1">
    <dataField name="Sum of Headcount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C9B3-AB1B-497C-AD01-7D6DE71E580A}">
  <dimension ref="A1:V98"/>
  <sheetViews>
    <sheetView showGridLines="0" tabSelected="1" zoomScale="56" workbookViewId="0">
      <pane ySplit="3" topLeftCell="A4" activePane="bottomLeft" state="frozen"/>
      <selection pane="bottomLeft" activeCell="AC32" sqref="AC32"/>
    </sheetView>
  </sheetViews>
  <sheetFormatPr baseColWidth="10" defaultColWidth="8.83203125" defaultRowHeight="15" x14ac:dyDescent="0.2"/>
  <cols>
    <col min="1" max="1" width="29.6640625" bestFit="1" customWidth="1"/>
    <col min="2" max="2" width="39" bestFit="1" customWidth="1"/>
    <col min="3" max="4" width="10" bestFit="1" customWidth="1"/>
    <col min="5" max="6" width="10.5" bestFit="1" customWidth="1"/>
    <col min="7" max="8" width="10" bestFit="1" customWidth="1"/>
    <col min="9" max="10" width="10.5" bestFit="1" customWidth="1"/>
    <col min="11" max="12" width="10" bestFit="1" customWidth="1"/>
    <col min="13" max="14" width="10.5" bestFit="1" customWidth="1"/>
    <col min="15" max="16" width="10" bestFit="1" customWidth="1"/>
    <col min="17" max="18" width="10.5" bestFit="1" customWidth="1"/>
    <col min="19" max="20" width="10" bestFit="1" customWidth="1"/>
    <col min="21" max="22" width="10.5" bestFit="1" customWidth="1"/>
  </cols>
  <sheetData>
    <row r="1" spans="1:22" ht="16" x14ac:dyDescent="0.2">
      <c r="A1" s="3"/>
      <c r="B1" s="3"/>
      <c r="C1" s="8">
        <v>2014</v>
      </c>
      <c r="D1" s="8">
        <v>2014</v>
      </c>
      <c r="E1" s="8">
        <v>2014</v>
      </c>
      <c r="F1" s="8">
        <v>2014</v>
      </c>
      <c r="G1" s="8">
        <v>2015</v>
      </c>
      <c r="H1" s="8">
        <v>2015</v>
      </c>
      <c r="I1" s="8">
        <v>2015</v>
      </c>
      <c r="J1" s="8">
        <v>2015</v>
      </c>
      <c r="K1" s="8">
        <v>2016</v>
      </c>
      <c r="L1" s="8">
        <v>2016</v>
      </c>
      <c r="M1" s="8">
        <v>2016</v>
      </c>
      <c r="N1" s="8">
        <v>2016</v>
      </c>
      <c r="O1" s="8">
        <v>2017</v>
      </c>
      <c r="P1" s="8">
        <v>2017</v>
      </c>
      <c r="Q1" s="8">
        <v>2017</v>
      </c>
      <c r="R1" s="8">
        <v>2017</v>
      </c>
      <c r="S1" s="8">
        <v>2018</v>
      </c>
      <c r="T1" s="8">
        <v>2018</v>
      </c>
      <c r="U1" s="8">
        <v>2018</v>
      </c>
      <c r="V1" s="8">
        <v>2018</v>
      </c>
    </row>
    <row r="2" spans="1:22" ht="16" x14ac:dyDescent="0.2">
      <c r="A2" s="3"/>
      <c r="B2" s="3"/>
      <c r="C2" s="8" t="s">
        <v>0</v>
      </c>
      <c r="D2" s="8" t="s">
        <v>0</v>
      </c>
      <c r="E2" s="8" t="s">
        <v>1</v>
      </c>
      <c r="F2" s="8" t="s">
        <v>1</v>
      </c>
      <c r="G2" s="8" t="s">
        <v>0</v>
      </c>
      <c r="H2" s="8" t="s">
        <v>0</v>
      </c>
      <c r="I2" s="8" t="s">
        <v>1</v>
      </c>
      <c r="J2" s="8" t="s">
        <v>1</v>
      </c>
      <c r="K2" s="8" t="s">
        <v>0</v>
      </c>
      <c r="L2" s="8" t="s">
        <v>0</v>
      </c>
      <c r="M2" s="8" t="s">
        <v>1</v>
      </c>
      <c r="N2" s="8" t="s">
        <v>1</v>
      </c>
      <c r="O2" s="8" t="s">
        <v>0</v>
      </c>
      <c r="P2" s="8" t="s">
        <v>0</v>
      </c>
      <c r="Q2" s="8" t="s">
        <v>1</v>
      </c>
      <c r="R2" s="8" t="s">
        <v>1</v>
      </c>
      <c r="S2" s="8" t="s">
        <v>0</v>
      </c>
      <c r="T2" s="8" t="s">
        <v>0</v>
      </c>
      <c r="U2" s="8" t="s">
        <v>1</v>
      </c>
      <c r="V2" s="8" t="s">
        <v>1</v>
      </c>
    </row>
    <row r="3" spans="1:22" ht="16" x14ac:dyDescent="0.2">
      <c r="A3" s="2" t="s">
        <v>2</v>
      </c>
      <c r="B3" s="2" t="s">
        <v>3</v>
      </c>
      <c r="C3" s="8" t="s">
        <v>4</v>
      </c>
      <c r="D3" s="8" t="s">
        <v>5</v>
      </c>
      <c r="E3" s="8" t="s">
        <v>4</v>
      </c>
      <c r="F3" s="8" t="s">
        <v>5</v>
      </c>
      <c r="G3" s="8" t="s">
        <v>4</v>
      </c>
      <c r="H3" s="8" t="s">
        <v>5</v>
      </c>
      <c r="I3" s="8" t="s">
        <v>4</v>
      </c>
      <c r="J3" s="8" t="s">
        <v>5</v>
      </c>
      <c r="K3" s="8" t="s">
        <v>4</v>
      </c>
      <c r="L3" s="8" t="s">
        <v>5</v>
      </c>
      <c r="M3" s="8" t="s">
        <v>4</v>
      </c>
      <c r="N3" s="8" t="s">
        <v>5</v>
      </c>
      <c r="O3" s="8" t="s">
        <v>4</v>
      </c>
      <c r="P3" s="8" t="s">
        <v>5</v>
      </c>
      <c r="Q3" s="8" t="s">
        <v>4</v>
      </c>
      <c r="R3" s="8" t="s">
        <v>5</v>
      </c>
      <c r="S3" s="8" t="s">
        <v>4</v>
      </c>
      <c r="T3" s="8" t="s">
        <v>5</v>
      </c>
      <c r="U3" s="8" t="s">
        <v>4</v>
      </c>
      <c r="V3" s="8" t="s">
        <v>5</v>
      </c>
    </row>
    <row r="4" spans="1:22" ht="16" x14ac:dyDescent="0.2">
      <c r="A4" s="3" t="s">
        <v>6</v>
      </c>
      <c r="B4" s="3" t="s">
        <v>17</v>
      </c>
      <c r="C4" s="4">
        <v>107</v>
      </c>
      <c r="D4" s="4">
        <v>180</v>
      </c>
      <c r="E4" s="4">
        <v>8</v>
      </c>
      <c r="F4" s="4">
        <v>48</v>
      </c>
      <c r="G4" s="4">
        <v>105</v>
      </c>
      <c r="H4" s="4">
        <v>176</v>
      </c>
      <c r="I4" s="4">
        <v>6</v>
      </c>
      <c r="J4" s="4">
        <v>38</v>
      </c>
      <c r="K4" s="4">
        <v>110</v>
      </c>
      <c r="L4" s="4">
        <v>212</v>
      </c>
      <c r="M4" s="4">
        <v>7</v>
      </c>
      <c r="N4" s="4">
        <v>38</v>
      </c>
      <c r="O4" s="4">
        <v>109</v>
      </c>
      <c r="P4" s="4">
        <v>246</v>
      </c>
      <c r="Q4" s="4">
        <v>6</v>
      </c>
      <c r="R4" s="4">
        <v>36</v>
      </c>
      <c r="S4" s="4">
        <v>123</v>
      </c>
      <c r="T4" s="4">
        <v>247</v>
      </c>
      <c r="U4" s="4">
        <v>7</v>
      </c>
      <c r="V4" s="4">
        <v>33</v>
      </c>
    </row>
    <row r="5" spans="1:22" ht="16" x14ac:dyDescent="0.2">
      <c r="A5" s="3" t="s">
        <v>6</v>
      </c>
      <c r="B5" s="3" t="s">
        <v>18</v>
      </c>
      <c r="C5" s="4">
        <v>2797</v>
      </c>
      <c r="D5" s="4">
        <v>2463</v>
      </c>
      <c r="E5" s="4">
        <v>1691</v>
      </c>
      <c r="F5" s="4">
        <v>764</v>
      </c>
      <c r="G5" s="4">
        <v>2115</v>
      </c>
      <c r="H5" s="4">
        <v>1767</v>
      </c>
      <c r="I5" s="4">
        <v>1670</v>
      </c>
      <c r="J5" s="4">
        <v>620</v>
      </c>
      <c r="K5" s="4">
        <v>2118</v>
      </c>
      <c r="L5" s="4">
        <v>2020</v>
      </c>
      <c r="M5" s="4">
        <v>1724</v>
      </c>
      <c r="N5" s="4">
        <v>665</v>
      </c>
      <c r="O5" s="4">
        <v>2154</v>
      </c>
      <c r="P5" s="4">
        <v>2225</v>
      </c>
      <c r="Q5" s="4">
        <v>1712</v>
      </c>
      <c r="R5" s="4">
        <v>746</v>
      </c>
      <c r="S5" s="4">
        <v>2294</v>
      </c>
      <c r="T5" s="4">
        <v>2666</v>
      </c>
      <c r="U5" s="4">
        <v>1687</v>
      </c>
      <c r="V5" s="4">
        <v>764</v>
      </c>
    </row>
    <row r="6" spans="1:22" ht="16" x14ac:dyDescent="0.2">
      <c r="A6" s="3" t="s">
        <v>6</v>
      </c>
      <c r="B6" s="3" t="s">
        <v>19</v>
      </c>
      <c r="C6" s="4">
        <v>6</v>
      </c>
      <c r="D6" s="4">
        <v>32</v>
      </c>
      <c r="E6" s="4">
        <v>1163</v>
      </c>
      <c r="F6" s="4">
        <v>18410</v>
      </c>
      <c r="G6" s="4">
        <v>14</v>
      </c>
      <c r="H6" s="4">
        <v>40</v>
      </c>
      <c r="I6" s="4">
        <v>1250</v>
      </c>
      <c r="J6" s="4">
        <v>18852</v>
      </c>
      <c r="K6" s="4">
        <v>10</v>
      </c>
      <c r="L6" s="4">
        <v>18</v>
      </c>
      <c r="M6" s="4">
        <v>1377</v>
      </c>
      <c r="N6" s="4">
        <v>19727</v>
      </c>
      <c r="O6" s="4">
        <v>24</v>
      </c>
      <c r="P6" s="4">
        <v>33</v>
      </c>
      <c r="Q6" s="4">
        <v>2211</v>
      </c>
      <c r="R6" s="4">
        <v>19415</v>
      </c>
      <c r="S6" s="4">
        <v>6</v>
      </c>
      <c r="T6" s="4">
        <v>13</v>
      </c>
      <c r="U6" s="4">
        <v>2501</v>
      </c>
      <c r="V6" s="4">
        <v>19110</v>
      </c>
    </row>
    <row r="7" spans="1:22" ht="16" x14ac:dyDescent="0.2">
      <c r="A7" s="3" t="s">
        <v>6</v>
      </c>
      <c r="B7" s="3" t="s">
        <v>20</v>
      </c>
      <c r="C7" s="4">
        <v>16463</v>
      </c>
      <c r="D7" s="4">
        <v>39251</v>
      </c>
      <c r="E7" s="4">
        <v>2021</v>
      </c>
      <c r="F7" s="4">
        <v>16327</v>
      </c>
      <c r="G7" s="4">
        <v>16031</v>
      </c>
      <c r="H7" s="4">
        <v>39222</v>
      </c>
      <c r="I7" s="4">
        <v>2233</v>
      </c>
      <c r="J7" s="4">
        <v>17291</v>
      </c>
      <c r="K7" s="4">
        <v>16012</v>
      </c>
      <c r="L7" s="4">
        <v>40218</v>
      </c>
      <c r="M7" s="4">
        <v>2474</v>
      </c>
      <c r="N7" s="4">
        <v>18508</v>
      </c>
      <c r="O7" s="4">
        <v>14813</v>
      </c>
      <c r="P7" s="4">
        <v>40742</v>
      </c>
      <c r="Q7" s="4">
        <v>3512</v>
      </c>
      <c r="R7" s="4">
        <v>18944</v>
      </c>
      <c r="S7" s="4">
        <v>13645</v>
      </c>
      <c r="T7" s="4">
        <v>41521</v>
      </c>
      <c r="U7" s="4">
        <v>4588</v>
      </c>
      <c r="V7" s="4">
        <v>19249</v>
      </c>
    </row>
    <row r="8" spans="1:22" ht="16" x14ac:dyDescent="0.2">
      <c r="A8" s="3" t="s">
        <v>7</v>
      </c>
      <c r="B8" s="3" t="s">
        <v>21</v>
      </c>
      <c r="C8" s="4">
        <v>3803</v>
      </c>
      <c r="D8" s="4">
        <v>9817</v>
      </c>
      <c r="E8" s="4">
        <v>1034</v>
      </c>
      <c r="F8" s="4">
        <v>5794</v>
      </c>
      <c r="G8" s="4">
        <v>3687</v>
      </c>
      <c r="H8" s="4">
        <v>9662</v>
      </c>
      <c r="I8" s="4">
        <v>1017</v>
      </c>
      <c r="J8" s="4">
        <v>5773</v>
      </c>
      <c r="K8" s="4">
        <v>3295</v>
      </c>
      <c r="L8" s="4">
        <v>8828</v>
      </c>
      <c r="M8" s="4">
        <v>717</v>
      </c>
      <c r="N8" s="4">
        <v>2836</v>
      </c>
      <c r="O8" s="4">
        <v>3209</v>
      </c>
      <c r="P8" s="4">
        <v>8642</v>
      </c>
      <c r="Q8" s="4">
        <v>722</v>
      </c>
      <c r="R8" s="4">
        <v>2726</v>
      </c>
      <c r="S8" s="4">
        <v>2240</v>
      </c>
      <c r="T8" s="4">
        <v>6734</v>
      </c>
      <c r="U8" s="4">
        <v>103</v>
      </c>
      <c r="V8" s="4">
        <v>1370</v>
      </c>
    </row>
    <row r="9" spans="1:22" ht="16" x14ac:dyDescent="0.2">
      <c r="A9" s="3" t="s">
        <v>7</v>
      </c>
      <c r="B9" s="3" t="s">
        <v>22</v>
      </c>
      <c r="C9" s="4">
        <v>22</v>
      </c>
      <c r="D9" s="4">
        <v>44</v>
      </c>
      <c r="E9" s="4">
        <v>6</v>
      </c>
      <c r="F9" s="4">
        <v>7</v>
      </c>
      <c r="G9" s="4">
        <v>20</v>
      </c>
      <c r="H9" s="4">
        <v>44</v>
      </c>
      <c r="I9" s="4">
        <v>6</v>
      </c>
      <c r="J9" s="4">
        <v>8</v>
      </c>
      <c r="K9" s="4">
        <v>17</v>
      </c>
      <c r="L9" s="4">
        <v>40</v>
      </c>
      <c r="M9" s="4">
        <v>6</v>
      </c>
      <c r="N9" s="4">
        <v>6</v>
      </c>
      <c r="O9" s="4">
        <v>17</v>
      </c>
      <c r="P9" s="4">
        <v>43</v>
      </c>
      <c r="Q9" s="4">
        <v>5</v>
      </c>
      <c r="R9" s="4">
        <v>6</v>
      </c>
      <c r="S9" s="4">
        <v>20</v>
      </c>
      <c r="T9" s="4">
        <v>43</v>
      </c>
      <c r="U9" s="4">
        <v>5</v>
      </c>
      <c r="V9" s="4">
        <v>5</v>
      </c>
    </row>
    <row r="10" spans="1:22" ht="16" x14ac:dyDescent="0.2">
      <c r="A10" s="3" t="s">
        <v>7</v>
      </c>
      <c r="B10" s="3" t="s">
        <v>23</v>
      </c>
      <c r="C10" s="4">
        <v>24</v>
      </c>
      <c r="D10" s="4">
        <v>82</v>
      </c>
      <c r="E10" s="4">
        <v>5</v>
      </c>
      <c r="F10" s="4">
        <v>18</v>
      </c>
      <c r="G10" s="4">
        <v>27</v>
      </c>
      <c r="H10" s="4">
        <v>83</v>
      </c>
      <c r="I10" s="4">
        <v>5</v>
      </c>
      <c r="J10" s="4">
        <v>19</v>
      </c>
      <c r="K10" s="4">
        <v>32</v>
      </c>
      <c r="L10" s="4">
        <v>79</v>
      </c>
      <c r="M10" s="4">
        <v>5</v>
      </c>
      <c r="N10" s="4">
        <v>24</v>
      </c>
      <c r="O10" s="4">
        <v>32</v>
      </c>
      <c r="P10" s="4">
        <v>85</v>
      </c>
      <c r="Q10" s="4">
        <v>5</v>
      </c>
      <c r="R10" s="4">
        <v>22</v>
      </c>
      <c r="S10" s="4">
        <v>36</v>
      </c>
      <c r="T10" s="4">
        <v>91</v>
      </c>
      <c r="U10" s="4">
        <v>5</v>
      </c>
      <c r="V10" s="4">
        <v>24</v>
      </c>
    </row>
    <row r="11" spans="1:22" ht="16" x14ac:dyDescent="0.2">
      <c r="A11" s="3" t="s">
        <v>8</v>
      </c>
      <c r="B11" s="3" t="s">
        <v>24</v>
      </c>
      <c r="C11" s="4">
        <v>3276</v>
      </c>
      <c r="D11" s="4">
        <v>3205</v>
      </c>
      <c r="E11" s="4">
        <v>73</v>
      </c>
      <c r="F11" s="4">
        <v>483</v>
      </c>
      <c r="G11" s="4">
        <v>3221</v>
      </c>
      <c r="H11" s="4">
        <v>3245</v>
      </c>
      <c r="I11" s="4">
        <v>112</v>
      </c>
      <c r="J11" s="4">
        <v>580</v>
      </c>
      <c r="K11" s="4">
        <v>2790</v>
      </c>
      <c r="L11" s="4">
        <v>2893</v>
      </c>
      <c r="M11" s="4">
        <v>96</v>
      </c>
      <c r="N11" s="4">
        <v>568</v>
      </c>
      <c r="O11" s="4">
        <v>2345</v>
      </c>
      <c r="P11" s="4">
        <v>2715</v>
      </c>
      <c r="Q11" s="4">
        <v>351</v>
      </c>
      <c r="R11" s="4">
        <v>914</v>
      </c>
      <c r="S11" s="4">
        <v>2100</v>
      </c>
      <c r="T11" s="4">
        <v>2454</v>
      </c>
      <c r="U11" s="4">
        <v>604</v>
      </c>
      <c r="V11" s="4">
        <v>845</v>
      </c>
    </row>
    <row r="12" spans="1:22" ht="16" x14ac:dyDescent="0.2">
      <c r="A12" s="3" t="s">
        <v>8</v>
      </c>
      <c r="B12" s="3" t="s">
        <v>25</v>
      </c>
      <c r="C12" s="4">
        <v>109</v>
      </c>
      <c r="D12" s="4">
        <v>308</v>
      </c>
      <c r="E12" s="4">
        <v>28</v>
      </c>
      <c r="F12" s="4">
        <v>156</v>
      </c>
      <c r="G12" s="4">
        <v>324</v>
      </c>
      <c r="H12" s="4">
        <v>602</v>
      </c>
      <c r="I12" s="4">
        <v>60</v>
      </c>
      <c r="J12" s="4">
        <v>292</v>
      </c>
      <c r="K12" s="4">
        <v>510</v>
      </c>
      <c r="L12" s="4">
        <v>906</v>
      </c>
      <c r="M12" s="4">
        <v>110</v>
      </c>
      <c r="N12" s="4">
        <v>510</v>
      </c>
      <c r="O12" s="4">
        <v>558</v>
      </c>
      <c r="P12" s="4">
        <v>1054</v>
      </c>
      <c r="Q12" s="4">
        <v>91</v>
      </c>
      <c r="R12" s="4">
        <v>490</v>
      </c>
      <c r="S12" s="4">
        <v>666</v>
      </c>
      <c r="T12" s="4">
        <v>1240</v>
      </c>
      <c r="U12" s="4">
        <v>86</v>
      </c>
      <c r="V12" s="4">
        <v>523</v>
      </c>
    </row>
    <row r="13" spans="1:22" ht="16" x14ac:dyDescent="0.2">
      <c r="A13" s="3" t="s">
        <v>9</v>
      </c>
      <c r="B13" s="3" t="s">
        <v>26</v>
      </c>
      <c r="C13" s="4">
        <v>33</v>
      </c>
      <c r="D13" s="4">
        <v>76</v>
      </c>
      <c r="E13" s="4">
        <v>6</v>
      </c>
      <c r="F13" s="4">
        <v>19</v>
      </c>
      <c r="G13" s="4">
        <v>33</v>
      </c>
      <c r="H13" s="4">
        <v>88</v>
      </c>
      <c r="I13" s="4">
        <v>6</v>
      </c>
      <c r="J13" s="4">
        <v>24</v>
      </c>
      <c r="K13" s="4">
        <v>32</v>
      </c>
      <c r="L13" s="4">
        <v>95</v>
      </c>
      <c r="M13" s="4">
        <v>7</v>
      </c>
      <c r="N13" s="4">
        <v>21</v>
      </c>
      <c r="O13" s="4">
        <v>36</v>
      </c>
      <c r="P13" s="4">
        <v>92</v>
      </c>
      <c r="Q13" s="4">
        <v>6</v>
      </c>
      <c r="R13" s="4">
        <v>22</v>
      </c>
      <c r="S13" s="4">
        <v>38</v>
      </c>
      <c r="T13" s="4">
        <v>102</v>
      </c>
      <c r="U13" s="4">
        <v>6</v>
      </c>
      <c r="V13" s="4">
        <v>27</v>
      </c>
    </row>
    <row r="14" spans="1:22" ht="16" x14ac:dyDescent="0.2">
      <c r="A14" s="3" t="s">
        <v>9</v>
      </c>
      <c r="B14" s="3" t="s">
        <v>27</v>
      </c>
      <c r="C14" s="4">
        <v>99</v>
      </c>
      <c r="D14" s="4">
        <v>262</v>
      </c>
      <c r="E14" s="4">
        <v>31</v>
      </c>
      <c r="F14" s="4">
        <v>311</v>
      </c>
      <c r="G14" s="4">
        <v>104</v>
      </c>
      <c r="H14" s="4">
        <v>297</v>
      </c>
      <c r="I14" s="4">
        <v>28</v>
      </c>
      <c r="J14" s="4">
        <v>393</v>
      </c>
      <c r="K14" s="4">
        <v>102</v>
      </c>
      <c r="L14" s="4">
        <v>311</v>
      </c>
      <c r="M14" s="4">
        <v>44</v>
      </c>
      <c r="N14" s="4">
        <v>399</v>
      </c>
      <c r="O14" s="4">
        <v>97</v>
      </c>
      <c r="P14" s="4">
        <v>293</v>
      </c>
      <c r="Q14" s="4">
        <v>41</v>
      </c>
      <c r="R14" s="4">
        <v>409</v>
      </c>
      <c r="S14" s="4">
        <v>96</v>
      </c>
      <c r="T14" s="4">
        <v>311</v>
      </c>
      <c r="U14" s="4">
        <v>57</v>
      </c>
      <c r="V14" s="4">
        <v>409</v>
      </c>
    </row>
    <row r="15" spans="1:22" ht="16" x14ac:dyDescent="0.2">
      <c r="A15" s="3" t="s">
        <v>9</v>
      </c>
      <c r="B15" s="3" t="s">
        <v>28</v>
      </c>
      <c r="C15" s="4">
        <v>3042</v>
      </c>
      <c r="D15" s="4">
        <v>1609</v>
      </c>
      <c r="E15" s="4">
        <v>99</v>
      </c>
      <c r="F15" s="4">
        <v>161</v>
      </c>
      <c r="G15" s="4">
        <v>3033</v>
      </c>
      <c r="H15" s="4">
        <v>1693</v>
      </c>
      <c r="I15" s="4">
        <v>102</v>
      </c>
      <c r="J15" s="4">
        <v>171</v>
      </c>
      <c r="K15" s="4">
        <v>3047</v>
      </c>
      <c r="L15" s="4">
        <v>1762</v>
      </c>
      <c r="M15" s="4">
        <v>104</v>
      </c>
      <c r="N15" s="4">
        <v>168</v>
      </c>
      <c r="O15" s="4">
        <v>2957</v>
      </c>
      <c r="P15" s="4">
        <v>1833</v>
      </c>
      <c r="Q15" s="4">
        <v>94</v>
      </c>
      <c r="R15" s="4">
        <v>151</v>
      </c>
      <c r="S15" s="4">
        <v>3080</v>
      </c>
      <c r="T15" s="4">
        <v>2012</v>
      </c>
      <c r="U15" s="4">
        <v>97</v>
      </c>
      <c r="V15" s="4">
        <v>142</v>
      </c>
    </row>
    <row r="16" spans="1:22" ht="16" x14ac:dyDescent="0.2">
      <c r="A16" s="3" t="s">
        <v>9</v>
      </c>
      <c r="B16" s="3" t="s">
        <v>29</v>
      </c>
      <c r="C16" s="4">
        <v>9</v>
      </c>
      <c r="D16" s="4">
        <v>22</v>
      </c>
      <c r="E16" s="4">
        <v>6</v>
      </c>
      <c r="F16" s="4">
        <v>6</v>
      </c>
      <c r="G16" s="4">
        <v>15</v>
      </c>
      <c r="H16" s="4">
        <v>22</v>
      </c>
      <c r="I16" s="4">
        <v>6</v>
      </c>
      <c r="J16" s="4">
        <v>6</v>
      </c>
      <c r="K16" s="4">
        <v>11</v>
      </c>
      <c r="L16" s="4">
        <v>27</v>
      </c>
      <c r="M16" s="4">
        <v>6</v>
      </c>
      <c r="N16" s="4">
        <v>6</v>
      </c>
      <c r="O16" s="4">
        <v>13</v>
      </c>
      <c r="P16" s="4">
        <v>29</v>
      </c>
      <c r="Q16" s="4">
        <v>6</v>
      </c>
      <c r="R16" s="4">
        <v>5</v>
      </c>
      <c r="S16" s="4">
        <v>14</v>
      </c>
      <c r="T16" s="4">
        <v>27</v>
      </c>
      <c r="U16" s="4">
        <v>6</v>
      </c>
      <c r="V16" s="4">
        <v>5</v>
      </c>
    </row>
    <row r="17" spans="1:22" ht="16" x14ac:dyDescent="0.2">
      <c r="A17" s="3" t="s">
        <v>9</v>
      </c>
      <c r="B17" s="3" t="s">
        <v>30</v>
      </c>
      <c r="C17" s="4">
        <v>30</v>
      </c>
      <c r="D17" s="4">
        <v>120</v>
      </c>
      <c r="E17" s="4">
        <v>6</v>
      </c>
      <c r="F17" s="4">
        <v>46</v>
      </c>
      <c r="G17" s="4">
        <v>36</v>
      </c>
      <c r="H17" s="4">
        <v>136</v>
      </c>
      <c r="I17" s="4">
        <v>6</v>
      </c>
      <c r="J17" s="4">
        <v>50</v>
      </c>
      <c r="K17" s="4">
        <v>41</v>
      </c>
      <c r="L17" s="4">
        <v>154</v>
      </c>
      <c r="M17" s="4">
        <v>6</v>
      </c>
      <c r="N17" s="4">
        <v>41</v>
      </c>
      <c r="O17" s="4">
        <v>46</v>
      </c>
      <c r="P17" s="4">
        <v>161</v>
      </c>
      <c r="Q17" s="4">
        <v>6</v>
      </c>
      <c r="R17" s="4">
        <v>39</v>
      </c>
      <c r="S17" s="4">
        <v>52</v>
      </c>
      <c r="T17" s="4">
        <v>175</v>
      </c>
      <c r="U17" s="4">
        <v>6</v>
      </c>
      <c r="V17" s="4">
        <v>35</v>
      </c>
    </row>
    <row r="18" spans="1:22" ht="16" x14ac:dyDescent="0.2">
      <c r="A18" s="3" t="s">
        <v>9</v>
      </c>
      <c r="B18" s="3" t="s">
        <v>31</v>
      </c>
      <c r="C18" s="4">
        <v>1121</v>
      </c>
      <c r="D18" s="4">
        <v>2579</v>
      </c>
      <c r="E18" s="4">
        <v>263</v>
      </c>
      <c r="F18" s="4">
        <v>1987</v>
      </c>
      <c r="G18" s="4">
        <v>1114</v>
      </c>
      <c r="H18" s="4">
        <v>2687</v>
      </c>
      <c r="I18" s="4">
        <v>273</v>
      </c>
      <c r="J18" s="4">
        <v>2098</v>
      </c>
      <c r="K18" s="4">
        <v>1117</v>
      </c>
      <c r="L18" s="4">
        <v>2660</v>
      </c>
      <c r="M18" s="4">
        <v>282</v>
      </c>
      <c r="N18" s="4">
        <v>2136</v>
      </c>
      <c r="O18" s="4">
        <v>1088</v>
      </c>
      <c r="P18" s="4">
        <v>2723</v>
      </c>
      <c r="Q18" s="4">
        <v>299</v>
      </c>
      <c r="R18" s="4">
        <v>2147</v>
      </c>
      <c r="S18" s="4">
        <v>1121</v>
      </c>
      <c r="T18" s="4">
        <v>2852</v>
      </c>
      <c r="U18" s="4">
        <v>291</v>
      </c>
      <c r="V18" s="4">
        <v>2260</v>
      </c>
    </row>
    <row r="19" spans="1:22" ht="16" x14ac:dyDescent="0.2">
      <c r="A19" s="3" t="s">
        <v>9</v>
      </c>
      <c r="B19" s="3" t="s">
        <v>32</v>
      </c>
      <c r="C19" s="4">
        <v>27</v>
      </c>
      <c r="D19" s="4">
        <v>60</v>
      </c>
      <c r="E19" s="4">
        <v>6</v>
      </c>
      <c r="F19" s="4">
        <v>11</v>
      </c>
      <c r="G19" s="4">
        <v>30</v>
      </c>
      <c r="H19" s="4">
        <v>60</v>
      </c>
      <c r="I19" s="4">
        <v>6</v>
      </c>
      <c r="J19" s="4">
        <v>11</v>
      </c>
      <c r="K19" s="4">
        <v>29</v>
      </c>
      <c r="L19" s="4">
        <v>62</v>
      </c>
      <c r="M19" s="4">
        <v>6</v>
      </c>
      <c r="N19" s="4">
        <v>9</v>
      </c>
      <c r="O19" s="4">
        <v>28</v>
      </c>
      <c r="P19" s="4">
        <v>72</v>
      </c>
      <c r="Q19" s="4">
        <v>6</v>
      </c>
      <c r="R19" s="4">
        <v>8</v>
      </c>
      <c r="S19" s="4">
        <v>27</v>
      </c>
      <c r="T19" s="4">
        <v>66</v>
      </c>
      <c r="U19" s="4">
        <v>6</v>
      </c>
      <c r="V19" s="4">
        <v>13</v>
      </c>
    </row>
    <row r="20" spans="1:22" ht="16" x14ac:dyDescent="0.2">
      <c r="A20" s="3" t="s">
        <v>9</v>
      </c>
      <c r="B20" s="3" t="s">
        <v>33</v>
      </c>
      <c r="C20" s="4">
        <v>275</v>
      </c>
      <c r="D20" s="4">
        <v>154</v>
      </c>
      <c r="E20" s="4">
        <v>7</v>
      </c>
      <c r="F20" s="4">
        <v>9</v>
      </c>
      <c r="G20" s="4">
        <v>296</v>
      </c>
      <c r="H20" s="4">
        <v>174</v>
      </c>
      <c r="I20" s="4">
        <v>6</v>
      </c>
      <c r="J20" s="4">
        <v>8</v>
      </c>
      <c r="K20" s="4">
        <v>335</v>
      </c>
      <c r="L20" s="4">
        <v>198</v>
      </c>
      <c r="M20" s="4">
        <v>6</v>
      </c>
      <c r="N20" s="4">
        <v>13</v>
      </c>
      <c r="O20" s="4">
        <v>411</v>
      </c>
      <c r="P20" s="4">
        <v>252</v>
      </c>
      <c r="Q20" s="4">
        <v>6</v>
      </c>
      <c r="R20" s="4">
        <v>15</v>
      </c>
      <c r="S20" s="4">
        <v>491</v>
      </c>
      <c r="T20" s="4">
        <v>308</v>
      </c>
      <c r="U20" s="4">
        <v>6</v>
      </c>
      <c r="V20" s="4">
        <v>13</v>
      </c>
    </row>
    <row r="21" spans="1:22" ht="16" x14ac:dyDescent="0.2">
      <c r="A21" s="3" t="s">
        <v>9</v>
      </c>
      <c r="B21" s="3" t="s">
        <v>34</v>
      </c>
      <c r="C21" s="4">
        <v>146</v>
      </c>
      <c r="D21" s="4">
        <v>415</v>
      </c>
      <c r="E21" s="4">
        <v>10</v>
      </c>
      <c r="F21" s="4">
        <v>169</v>
      </c>
      <c r="G21" s="4">
        <v>142</v>
      </c>
      <c r="H21" s="4">
        <v>418</v>
      </c>
      <c r="I21" s="4">
        <v>14</v>
      </c>
      <c r="J21" s="4">
        <v>172</v>
      </c>
      <c r="K21" s="4">
        <v>146</v>
      </c>
      <c r="L21" s="4">
        <v>428</v>
      </c>
      <c r="M21" s="4">
        <v>13</v>
      </c>
      <c r="N21" s="4">
        <v>161</v>
      </c>
      <c r="O21" s="4">
        <v>153</v>
      </c>
      <c r="P21" s="4">
        <v>428</v>
      </c>
      <c r="Q21" s="4">
        <v>7</v>
      </c>
      <c r="R21" s="4">
        <v>158</v>
      </c>
      <c r="S21" s="4">
        <v>149</v>
      </c>
      <c r="T21" s="4">
        <v>436</v>
      </c>
      <c r="U21" s="4">
        <v>10</v>
      </c>
      <c r="V21" s="4">
        <v>163</v>
      </c>
    </row>
    <row r="22" spans="1:22" ht="16" x14ac:dyDescent="0.2">
      <c r="A22" s="3" t="s">
        <v>9</v>
      </c>
      <c r="B22" s="3" t="s">
        <v>35</v>
      </c>
      <c r="C22" s="4">
        <v>18</v>
      </c>
      <c r="D22" s="4">
        <v>58</v>
      </c>
      <c r="E22" s="4">
        <v>6</v>
      </c>
      <c r="F22" s="4">
        <v>13</v>
      </c>
      <c r="G22" s="4">
        <v>18</v>
      </c>
      <c r="H22" s="4">
        <v>58</v>
      </c>
      <c r="I22" s="4">
        <v>6</v>
      </c>
      <c r="J22" s="4">
        <v>11</v>
      </c>
      <c r="K22" s="4">
        <v>19</v>
      </c>
      <c r="L22" s="4">
        <v>65</v>
      </c>
      <c r="M22" s="4">
        <v>5</v>
      </c>
      <c r="N22" s="4">
        <v>10</v>
      </c>
      <c r="O22" s="4">
        <v>24</v>
      </c>
      <c r="P22" s="4">
        <v>65</v>
      </c>
      <c r="Q22" s="4">
        <v>5</v>
      </c>
      <c r="R22" s="4">
        <v>10</v>
      </c>
      <c r="S22" s="4">
        <v>28</v>
      </c>
      <c r="T22" s="4">
        <v>65</v>
      </c>
      <c r="U22" s="4">
        <v>6</v>
      </c>
      <c r="V22" s="4">
        <v>9</v>
      </c>
    </row>
    <row r="23" spans="1:22" ht="16" x14ac:dyDescent="0.2">
      <c r="A23" s="3" t="s">
        <v>9</v>
      </c>
      <c r="B23" s="3" t="s">
        <v>36</v>
      </c>
      <c r="C23" s="4">
        <v>38</v>
      </c>
      <c r="D23" s="4">
        <v>83</v>
      </c>
      <c r="E23" s="4">
        <v>9</v>
      </c>
      <c r="F23" s="4">
        <v>19</v>
      </c>
      <c r="G23" s="4">
        <v>40</v>
      </c>
      <c r="H23" s="4">
        <v>94</v>
      </c>
      <c r="I23" s="4">
        <v>9</v>
      </c>
      <c r="J23" s="4">
        <v>21</v>
      </c>
      <c r="K23" s="4">
        <v>36</v>
      </c>
      <c r="L23" s="4">
        <v>104</v>
      </c>
      <c r="M23" s="4">
        <v>11</v>
      </c>
      <c r="N23" s="4">
        <v>20</v>
      </c>
      <c r="O23" s="4">
        <v>36</v>
      </c>
      <c r="P23" s="4">
        <v>106</v>
      </c>
      <c r="Q23" s="4">
        <v>10</v>
      </c>
      <c r="R23" s="4">
        <v>28</v>
      </c>
      <c r="S23" s="4">
        <v>37</v>
      </c>
      <c r="T23" s="4">
        <v>116</v>
      </c>
      <c r="U23" s="4">
        <v>8</v>
      </c>
      <c r="V23" s="4">
        <v>22</v>
      </c>
    </row>
    <row r="24" spans="1:22" ht="16" x14ac:dyDescent="0.2">
      <c r="A24" s="3" t="s">
        <v>9</v>
      </c>
      <c r="B24" s="3" t="s">
        <v>37</v>
      </c>
      <c r="C24" s="4">
        <v>28</v>
      </c>
      <c r="D24" s="4">
        <v>22</v>
      </c>
      <c r="E24" s="4">
        <v>5</v>
      </c>
      <c r="F24" s="4">
        <v>6</v>
      </c>
      <c r="G24" s="4">
        <v>24</v>
      </c>
      <c r="H24" s="4">
        <v>24</v>
      </c>
      <c r="I24" s="4">
        <v>5</v>
      </c>
      <c r="J24" s="4">
        <v>5</v>
      </c>
      <c r="K24" s="4">
        <v>26</v>
      </c>
      <c r="L24" s="4">
        <v>21</v>
      </c>
      <c r="M24" s="4">
        <v>5</v>
      </c>
      <c r="N24" s="4">
        <v>6</v>
      </c>
      <c r="O24" s="4">
        <v>28</v>
      </c>
      <c r="P24" s="4">
        <v>26</v>
      </c>
      <c r="Q24" s="4">
        <v>5</v>
      </c>
      <c r="R24" s="4">
        <v>6</v>
      </c>
      <c r="S24" s="4">
        <v>36</v>
      </c>
      <c r="T24" s="4">
        <v>30</v>
      </c>
      <c r="U24" s="4">
        <v>5</v>
      </c>
      <c r="V24" s="4">
        <v>6</v>
      </c>
    </row>
    <row r="25" spans="1:22" ht="16" x14ac:dyDescent="0.2">
      <c r="A25" s="3" t="s">
        <v>9</v>
      </c>
      <c r="B25" s="3" t="s">
        <v>38</v>
      </c>
      <c r="C25" s="4">
        <v>1190</v>
      </c>
      <c r="D25" s="4">
        <v>2306</v>
      </c>
      <c r="E25" s="4">
        <v>192</v>
      </c>
      <c r="F25" s="4">
        <v>1206</v>
      </c>
      <c r="G25" s="4">
        <v>1192</v>
      </c>
      <c r="H25" s="4">
        <v>2297</v>
      </c>
      <c r="I25" s="4">
        <v>202</v>
      </c>
      <c r="J25" s="4">
        <v>1239</v>
      </c>
      <c r="K25" s="4">
        <v>1229</v>
      </c>
      <c r="L25" s="4">
        <v>2368</v>
      </c>
      <c r="M25" s="4">
        <v>197</v>
      </c>
      <c r="N25" s="4">
        <v>1230</v>
      </c>
      <c r="O25" s="4">
        <v>1219</v>
      </c>
      <c r="P25" s="4">
        <v>2364</v>
      </c>
      <c r="Q25" s="4">
        <v>216</v>
      </c>
      <c r="R25" s="4">
        <v>1242</v>
      </c>
      <c r="S25" s="4">
        <v>1193</v>
      </c>
      <c r="T25" s="4">
        <v>2376</v>
      </c>
      <c r="U25" s="4">
        <v>231</v>
      </c>
      <c r="V25" s="4">
        <v>1273</v>
      </c>
    </row>
    <row r="26" spans="1:22" ht="16" x14ac:dyDescent="0.2">
      <c r="A26" s="3" t="s">
        <v>9</v>
      </c>
      <c r="B26" s="3" t="s">
        <v>39</v>
      </c>
      <c r="C26" s="4">
        <v>15</v>
      </c>
      <c r="D26" s="4">
        <v>72</v>
      </c>
      <c r="E26" s="4">
        <v>5</v>
      </c>
      <c r="F26" s="4">
        <v>10</v>
      </c>
      <c r="G26" s="4">
        <v>17</v>
      </c>
      <c r="H26" s="4">
        <v>85</v>
      </c>
      <c r="I26" s="4">
        <v>5</v>
      </c>
      <c r="J26" s="4">
        <v>5</v>
      </c>
      <c r="K26" s="4">
        <v>17</v>
      </c>
      <c r="L26" s="4">
        <v>81</v>
      </c>
      <c r="M26" s="4">
        <v>5</v>
      </c>
      <c r="N26" s="4">
        <v>6</v>
      </c>
      <c r="O26" s="4">
        <v>22</v>
      </c>
      <c r="P26" s="4">
        <v>96</v>
      </c>
      <c r="Q26" s="4">
        <v>5</v>
      </c>
      <c r="R26" s="4">
        <v>6</v>
      </c>
      <c r="S26" s="4">
        <v>21</v>
      </c>
      <c r="T26" s="4">
        <v>106</v>
      </c>
      <c r="U26" s="4">
        <v>6</v>
      </c>
      <c r="V26" s="4">
        <v>6</v>
      </c>
    </row>
    <row r="27" spans="1:22" ht="16" x14ac:dyDescent="0.2">
      <c r="A27" s="3" t="s">
        <v>9</v>
      </c>
      <c r="B27" s="3" t="s">
        <v>40</v>
      </c>
      <c r="C27" s="4">
        <v>47</v>
      </c>
      <c r="D27" s="4">
        <v>70</v>
      </c>
      <c r="E27" s="4">
        <v>6</v>
      </c>
      <c r="F27" s="4">
        <v>6</v>
      </c>
      <c r="G27" s="4">
        <v>52</v>
      </c>
      <c r="H27" s="4">
        <v>80</v>
      </c>
      <c r="I27" s="4">
        <v>6</v>
      </c>
      <c r="J27" s="4">
        <v>8</v>
      </c>
      <c r="K27" s="4">
        <v>62</v>
      </c>
      <c r="L27" s="4">
        <v>132</v>
      </c>
      <c r="M27" s="4">
        <v>6</v>
      </c>
      <c r="N27" s="4">
        <v>18</v>
      </c>
      <c r="O27" s="4">
        <v>69</v>
      </c>
      <c r="P27" s="4">
        <v>95</v>
      </c>
      <c r="Q27" s="4">
        <v>6</v>
      </c>
      <c r="R27" s="4">
        <v>8</v>
      </c>
      <c r="S27" s="4">
        <v>74</v>
      </c>
      <c r="T27" s="4">
        <v>120</v>
      </c>
      <c r="U27" s="4">
        <v>6</v>
      </c>
      <c r="V27" s="4">
        <v>11</v>
      </c>
    </row>
    <row r="28" spans="1:22" ht="16" x14ac:dyDescent="0.2">
      <c r="A28" s="3" t="s">
        <v>9</v>
      </c>
      <c r="B28" s="3" t="s">
        <v>41</v>
      </c>
      <c r="C28" s="4">
        <v>1851</v>
      </c>
      <c r="D28" s="4">
        <v>3186</v>
      </c>
      <c r="E28" s="4">
        <v>317</v>
      </c>
      <c r="F28" s="4">
        <v>1718</v>
      </c>
      <c r="G28" s="4">
        <v>1554</v>
      </c>
      <c r="H28" s="4">
        <v>2941</v>
      </c>
      <c r="I28" s="4">
        <v>327</v>
      </c>
      <c r="J28" s="4">
        <v>1766</v>
      </c>
      <c r="K28" s="4">
        <v>1705</v>
      </c>
      <c r="L28" s="4">
        <v>2940</v>
      </c>
      <c r="M28" s="4">
        <v>394</v>
      </c>
      <c r="N28" s="4">
        <v>1766</v>
      </c>
      <c r="O28" s="4">
        <v>1720</v>
      </c>
      <c r="P28" s="4">
        <v>2929</v>
      </c>
      <c r="Q28" s="4">
        <v>409</v>
      </c>
      <c r="R28" s="4">
        <v>1815</v>
      </c>
      <c r="S28" s="4">
        <v>2034</v>
      </c>
      <c r="T28" s="4">
        <v>3196</v>
      </c>
      <c r="U28" s="4">
        <v>493</v>
      </c>
      <c r="V28" s="4">
        <v>1969</v>
      </c>
    </row>
    <row r="29" spans="1:22" ht="16" x14ac:dyDescent="0.2">
      <c r="A29" s="3" t="s">
        <v>9</v>
      </c>
      <c r="B29" s="3" t="s">
        <v>42</v>
      </c>
      <c r="C29" s="4">
        <v>2247</v>
      </c>
      <c r="D29" s="4">
        <v>6024</v>
      </c>
      <c r="E29" s="4">
        <v>544</v>
      </c>
      <c r="F29" s="4">
        <v>5526</v>
      </c>
      <c r="G29" s="4">
        <v>2266</v>
      </c>
      <c r="H29" s="4">
        <v>6104</v>
      </c>
      <c r="I29" s="4">
        <v>591</v>
      </c>
      <c r="J29" s="4">
        <v>5894</v>
      </c>
      <c r="K29" s="4">
        <v>2235</v>
      </c>
      <c r="L29" s="4">
        <v>6053</v>
      </c>
      <c r="M29" s="4">
        <v>571</v>
      </c>
      <c r="N29" s="4">
        <v>5564</v>
      </c>
      <c r="O29" s="4">
        <v>2195</v>
      </c>
      <c r="P29" s="4">
        <v>6090</v>
      </c>
      <c r="Q29" s="4">
        <v>585</v>
      </c>
      <c r="R29" s="4">
        <v>5616</v>
      </c>
      <c r="S29" s="4">
        <v>2217</v>
      </c>
      <c r="T29" s="4">
        <v>6173</v>
      </c>
      <c r="U29" s="4">
        <v>653</v>
      </c>
      <c r="V29" s="4">
        <v>5830</v>
      </c>
    </row>
    <row r="30" spans="1:22" ht="16" x14ac:dyDescent="0.2">
      <c r="A30" s="3" t="s">
        <v>9</v>
      </c>
      <c r="B30" s="3" t="s">
        <v>43</v>
      </c>
      <c r="C30" s="4">
        <v>1191</v>
      </c>
      <c r="D30" s="4">
        <v>2698</v>
      </c>
      <c r="E30" s="4">
        <v>220</v>
      </c>
      <c r="F30" s="4">
        <v>2123</v>
      </c>
      <c r="G30" s="4">
        <v>1230</v>
      </c>
      <c r="H30" s="4">
        <v>2812</v>
      </c>
      <c r="I30" s="4">
        <v>247</v>
      </c>
      <c r="J30" s="4">
        <v>2162</v>
      </c>
      <c r="K30" s="4">
        <v>1230</v>
      </c>
      <c r="L30" s="4">
        <v>2871</v>
      </c>
      <c r="M30" s="4">
        <v>262</v>
      </c>
      <c r="N30" s="4">
        <v>2219</v>
      </c>
      <c r="O30" s="4">
        <v>1193</v>
      </c>
      <c r="P30" s="4">
        <v>2920</v>
      </c>
      <c r="Q30" s="4">
        <v>300</v>
      </c>
      <c r="R30" s="4">
        <v>2303</v>
      </c>
      <c r="S30" s="4">
        <v>1214</v>
      </c>
      <c r="T30" s="4">
        <v>2899</v>
      </c>
      <c r="U30" s="4">
        <v>323</v>
      </c>
      <c r="V30" s="4">
        <v>2441</v>
      </c>
    </row>
    <row r="31" spans="1:22" ht="16" x14ac:dyDescent="0.2">
      <c r="A31" s="3" t="s">
        <v>9</v>
      </c>
      <c r="B31" s="3" t="s">
        <v>44</v>
      </c>
      <c r="C31" s="4">
        <v>317</v>
      </c>
      <c r="D31" s="4">
        <v>730</v>
      </c>
      <c r="E31" s="4">
        <v>81</v>
      </c>
      <c r="F31" s="4">
        <v>305</v>
      </c>
      <c r="G31" s="4">
        <v>340</v>
      </c>
      <c r="H31" s="4">
        <v>748</v>
      </c>
      <c r="I31" s="4">
        <v>81</v>
      </c>
      <c r="J31" s="4">
        <v>327</v>
      </c>
      <c r="K31" s="4">
        <v>343</v>
      </c>
      <c r="L31" s="4">
        <v>775</v>
      </c>
      <c r="M31" s="4">
        <v>83</v>
      </c>
      <c r="N31" s="4">
        <v>330</v>
      </c>
      <c r="O31" s="4">
        <v>343</v>
      </c>
      <c r="P31" s="4">
        <v>724</v>
      </c>
      <c r="Q31" s="4">
        <v>92</v>
      </c>
      <c r="R31" s="4">
        <v>351</v>
      </c>
      <c r="S31" s="4">
        <v>358</v>
      </c>
      <c r="T31" s="4">
        <v>766</v>
      </c>
      <c r="U31" s="4">
        <v>85</v>
      </c>
      <c r="V31" s="4">
        <v>369</v>
      </c>
    </row>
    <row r="32" spans="1:22" ht="16" x14ac:dyDescent="0.2">
      <c r="A32" s="3" t="s">
        <v>9</v>
      </c>
      <c r="B32" s="3" t="s">
        <v>45</v>
      </c>
      <c r="C32" s="4">
        <v>6</v>
      </c>
      <c r="D32" s="4">
        <v>11</v>
      </c>
      <c r="E32" s="4">
        <v>5</v>
      </c>
      <c r="F32" s="4">
        <v>5</v>
      </c>
      <c r="G32" s="4">
        <v>6</v>
      </c>
      <c r="H32" s="4">
        <v>15</v>
      </c>
      <c r="I32" s="4">
        <v>5</v>
      </c>
      <c r="J32" s="4">
        <v>5</v>
      </c>
      <c r="K32" s="4">
        <v>6</v>
      </c>
      <c r="L32" s="4">
        <v>20</v>
      </c>
      <c r="M32" s="4">
        <v>6</v>
      </c>
      <c r="N32" s="4">
        <v>6</v>
      </c>
      <c r="O32" s="4">
        <v>6</v>
      </c>
      <c r="P32" s="4">
        <v>20</v>
      </c>
      <c r="Q32" s="4">
        <v>6</v>
      </c>
      <c r="R32" s="4">
        <v>6</v>
      </c>
      <c r="S32" s="4">
        <v>5</v>
      </c>
      <c r="T32" s="4">
        <v>18</v>
      </c>
      <c r="U32" s="4">
        <v>5</v>
      </c>
      <c r="V32" s="4">
        <v>6</v>
      </c>
    </row>
    <row r="33" spans="1:22" ht="16" x14ac:dyDescent="0.2">
      <c r="A33" s="3" t="s">
        <v>9</v>
      </c>
      <c r="B33" s="3" t="s">
        <v>46</v>
      </c>
      <c r="C33" s="4">
        <v>787</v>
      </c>
      <c r="D33" s="4">
        <v>1612</v>
      </c>
      <c r="E33" s="4">
        <v>253</v>
      </c>
      <c r="F33" s="4">
        <v>1370</v>
      </c>
      <c r="G33" s="4">
        <v>710</v>
      </c>
      <c r="H33" s="4">
        <v>1548</v>
      </c>
      <c r="I33" s="4">
        <v>266</v>
      </c>
      <c r="J33" s="4">
        <v>1446</v>
      </c>
      <c r="K33" s="4">
        <v>695</v>
      </c>
      <c r="L33" s="4">
        <v>1510</v>
      </c>
      <c r="M33" s="4">
        <v>249</v>
      </c>
      <c r="N33" s="4">
        <v>1436</v>
      </c>
      <c r="O33" s="4">
        <v>657</v>
      </c>
      <c r="P33" s="4">
        <v>1557</v>
      </c>
      <c r="Q33" s="4">
        <v>281</v>
      </c>
      <c r="R33" s="4">
        <v>1514</v>
      </c>
      <c r="S33" s="4">
        <v>622</v>
      </c>
      <c r="T33" s="4">
        <v>1499</v>
      </c>
      <c r="U33" s="4">
        <v>300</v>
      </c>
      <c r="V33" s="4">
        <v>1604</v>
      </c>
    </row>
    <row r="34" spans="1:22" ht="16" x14ac:dyDescent="0.2">
      <c r="A34" s="3" t="s">
        <v>9</v>
      </c>
      <c r="B34" s="3" t="s">
        <v>47</v>
      </c>
      <c r="C34" s="4">
        <v>227</v>
      </c>
      <c r="D34" s="4">
        <v>434</v>
      </c>
      <c r="E34" s="4">
        <v>7</v>
      </c>
      <c r="F34" s="4">
        <v>66</v>
      </c>
      <c r="G34" s="4">
        <v>234</v>
      </c>
      <c r="H34" s="4">
        <v>503</v>
      </c>
      <c r="I34" s="4">
        <v>5</v>
      </c>
      <c r="J34" s="4">
        <v>6</v>
      </c>
      <c r="K34" s="4">
        <v>233</v>
      </c>
      <c r="L34" s="4">
        <v>490</v>
      </c>
      <c r="M34" s="4">
        <v>6</v>
      </c>
      <c r="N34" s="4">
        <v>36</v>
      </c>
      <c r="O34" s="4">
        <v>241</v>
      </c>
      <c r="P34" s="4">
        <v>580</v>
      </c>
      <c r="Q34" s="4">
        <v>6</v>
      </c>
      <c r="R34" s="4">
        <v>38</v>
      </c>
      <c r="S34" s="4">
        <v>259</v>
      </c>
      <c r="T34" s="4">
        <v>632</v>
      </c>
      <c r="U34" s="4">
        <v>6</v>
      </c>
      <c r="V34" s="4">
        <v>35</v>
      </c>
    </row>
    <row r="35" spans="1:22" ht="16" x14ac:dyDescent="0.2">
      <c r="A35" s="3" t="s">
        <v>9</v>
      </c>
      <c r="B35" s="3" t="s">
        <v>48</v>
      </c>
      <c r="C35" s="4">
        <v>534</v>
      </c>
      <c r="D35" s="4">
        <v>1657</v>
      </c>
      <c r="E35" s="4">
        <v>69</v>
      </c>
      <c r="F35" s="4">
        <v>1419</v>
      </c>
      <c r="G35" s="4">
        <v>471</v>
      </c>
      <c r="H35" s="4">
        <v>1556</v>
      </c>
      <c r="I35" s="4">
        <v>85</v>
      </c>
      <c r="J35" s="4">
        <v>1450</v>
      </c>
      <c r="K35" s="4">
        <v>472</v>
      </c>
      <c r="L35" s="4">
        <v>1540</v>
      </c>
      <c r="M35" s="4">
        <v>85</v>
      </c>
      <c r="N35" s="4">
        <v>1424</v>
      </c>
      <c r="O35" s="4">
        <v>497</v>
      </c>
      <c r="P35" s="4">
        <v>1581</v>
      </c>
      <c r="Q35" s="4">
        <v>84</v>
      </c>
      <c r="R35" s="4">
        <v>1468</v>
      </c>
      <c r="S35" s="4">
        <v>531</v>
      </c>
      <c r="T35" s="4">
        <v>1652</v>
      </c>
      <c r="U35" s="4">
        <v>96</v>
      </c>
      <c r="V35" s="4">
        <v>1489</v>
      </c>
    </row>
    <row r="36" spans="1:22" ht="16" x14ac:dyDescent="0.2">
      <c r="A36" s="3" t="s">
        <v>9</v>
      </c>
      <c r="B36" s="3" t="s">
        <v>49</v>
      </c>
      <c r="C36" s="4">
        <v>999</v>
      </c>
      <c r="D36" s="4">
        <v>2446</v>
      </c>
      <c r="E36" s="4">
        <v>179</v>
      </c>
      <c r="F36" s="4">
        <v>1307</v>
      </c>
      <c r="G36" s="4">
        <v>988</v>
      </c>
      <c r="H36" s="4">
        <v>2485</v>
      </c>
      <c r="I36" s="4">
        <v>180</v>
      </c>
      <c r="J36" s="4">
        <v>1363</v>
      </c>
      <c r="K36" s="4">
        <v>1032</v>
      </c>
      <c r="L36" s="4">
        <v>2606</v>
      </c>
      <c r="M36" s="4">
        <v>200</v>
      </c>
      <c r="N36" s="4">
        <v>1341</v>
      </c>
      <c r="O36" s="4">
        <v>1073</v>
      </c>
      <c r="P36" s="4">
        <v>2680</v>
      </c>
      <c r="Q36" s="4">
        <v>217</v>
      </c>
      <c r="R36" s="4">
        <v>1371</v>
      </c>
      <c r="S36" s="4">
        <v>1115</v>
      </c>
      <c r="T36" s="4">
        <v>2716</v>
      </c>
      <c r="U36" s="4">
        <v>231</v>
      </c>
      <c r="V36" s="4">
        <v>1424</v>
      </c>
    </row>
    <row r="37" spans="1:22" ht="16" x14ac:dyDescent="0.2">
      <c r="A37" s="3" t="s">
        <v>9</v>
      </c>
      <c r="B37" s="3" t="s">
        <v>50</v>
      </c>
      <c r="C37" s="4">
        <v>897</v>
      </c>
      <c r="D37" s="4">
        <v>1686</v>
      </c>
      <c r="E37" s="4">
        <v>357</v>
      </c>
      <c r="F37" s="4">
        <v>2076</v>
      </c>
      <c r="G37" s="4">
        <v>872</v>
      </c>
      <c r="H37" s="4">
        <v>1649</v>
      </c>
      <c r="I37" s="4">
        <v>359</v>
      </c>
      <c r="J37" s="4">
        <v>2187</v>
      </c>
      <c r="K37" s="4">
        <v>819</v>
      </c>
      <c r="L37" s="4">
        <v>1553</v>
      </c>
      <c r="M37" s="4">
        <v>400</v>
      </c>
      <c r="N37" s="4">
        <v>2192</v>
      </c>
      <c r="O37" s="4">
        <v>813</v>
      </c>
      <c r="P37" s="4">
        <v>1557</v>
      </c>
      <c r="Q37" s="4">
        <v>411</v>
      </c>
      <c r="R37" s="4">
        <v>2334</v>
      </c>
      <c r="S37" s="4">
        <v>829</v>
      </c>
      <c r="T37" s="4">
        <v>1572</v>
      </c>
      <c r="U37" s="4">
        <v>444</v>
      </c>
      <c r="V37" s="4">
        <v>2464</v>
      </c>
    </row>
    <row r="38" spans="1:22" ht="16" x14ac:dyDescent="0.2">
      <c r="A38" s="3" t="s">
        <v>9</v>
      </c>
      <c r="B38" s="3" t="s">
        <v>51</v>
      </c>
      <c r="C38" s="4">
        <v>2229</v>
      </c>
      <c r="D38" s="4">
        <v>5113</v>
      </c>
      <c r="E38" s="4">
        <v>501</v>
      </c>
      <c r="F38" s="4">
        <v>2808</v>
      </c>
      <c r="G38" s="4">
        <v>2221</v>
      </c>
      <c r="H38" s="4">
        <v>5175</v>
      </c>
      <c r="I38" s="4">
        <v>547</v>
      </c>
      <c r="J38" s="4">
        <v>2855</v>
      </c>
      <c r="K38" s="4">
        <v>2364</v>
      </c>
      <c r="L38" s="4">
        <v>5327</v>
      </c>
      <c r="M38" s="4">
        <v>569</v>
      </c>
      <c r="N38" s="4">
        <v>3023</v>
      </c>
      <c r="O38" s="4">
        <v>2297</v>
      </c>
      <c r="P38" s="4">
        <v>5227</v>
      </c>
      <c r="Q38" s="4">
        <v>544</v>
      </c>
      <c r="R38" s="4">
        <v>2991</v>
      </c>
      <c r="S38" s="4">
        <v>2068</v>
      </c>
      <c r="T38" s="4">
        <v>5198</v>
      </c>
      <c r="U38" s="4">
        <v>524</v>
      </c>
      <c r="V38" s="4">
        <v>2969</v>
      </c>
    </row>
    <row r="39" spans="1:22" ht="16" x14ac:dyDescent="0.2">
      <c r="A39" s="3" t="s">
        <v>9</v>
      </c>
      <c r="B39" s="3" t="s">
        <v>52</v>
      </c>
      <c r="C39" s="4">
        <v>2561</v>
      </c>
      <c r="D39" s="4">
        <v>6124</v>
      </c>
      <c r="E39" s="4">
        <v>482</v>
      </c>
      <c r="F39" s="4">
        <v>2915</v>
      </c>
      <c r="G39" s="4">
        <v>2572</v>
      </c>
      <c r="H39" s="4">
        <v>6202</v>
      </c>
      <c r="I39" s="4">
        <v>524</v>
      </c>
      <c r="J39" s="4">
        <v>3017</v>
      </c>
      <c r="K39" s="4">
        <v>2650</v>
      </c>
      <c r="L39" s="4">
        <v>6284</v>
      </c>
      <c r="M39" s="4">
        <v>536</v>
      </c>
      <c r="N39" s="4">
        <v>2995</v>
      </c>
      <c r="O39" s="4">
        <v>2644</v>
      </c>
      <c r="P39" s="4">
        <v>6244</v>
      </c>
      <c r="Q39" s="4">
        <v>534</v>
      </c>
      <c r="R39" s="4">
        <v>2968</v>
      </c>
      <c r="S39" s="4">
        <v>2802</v>
      </c>
      <c r="T39" s="4">
        <v>6452</v>
      </c>
      <c r="U39" s="4">
        <v>586</v>
      </c>
      <c r="V39" s="4">
        <v>2998</v>
      </c>
    </row>
    <row r="40" spans="1:22" ht="16" x14ac:dyDescent="0.2">
      <c r="A40" s="3" t="s">
        <v>9</v>
      </c>
      <c r="B40" s="3" t="s">
        <v>53</v>
      </c>
      <c r="C40" s="4">
        <v>2194</v>
      </c>
      <c r="D40" s="4">
        <v>6052</v>
      </c>
      <c r="E40" s="4">
        <v>409</v>
      </c>
      <c r="F40" s="4">
        <v>2403</v>
      </c>
      <c r="G40" s="4">
        <v>2241</v>
      </c>
      <c r="H40" s="4">
        <v>6250</v>
      </c>
      <c r="I40" s="4">
        <v>434</v>
      </c>
      <c r="J40" s="4">
        <v>2551</v>
      </c>
      <c r="K40" s="4">
        <v>2282</v>
      </c>
      <c r="L40" s="4">
        <v>6310</v>
      </c>
      <c r="M40" s="4">
        <v>443</v>
      </c>
      <c r="N40" s="4">
        <v>2584</v>
      </c>
      <c r="O40" s="4">
        <v>2351</v>
      </c>
      <c r="P40" s="4">
        <v>6500</v>
      </c>
      <c r="Q40" s="4">
        <v>454</v>
      </c>
      <c r="R40" s="4">
        <v>2633</v>
      </c>
      <c r="S40" s="4">
        <v>2492</v>
      </c>
      <c r="T40" s="4">
        <v>6903</v>
      </c>
      <c r="U40" s="4">
        <v>483</v>
      </c>
      <c r="V40" s="4">
        <v>2739</v>
      </c>
    </row>
    <row r="41" spans="1:22" ht="16" x14ac:dyDescent="0.2">
      <c r="A41" s="3" t="s">
        <v>9</v>
      </c>
      <c r="B41" s="3" t="s">
        <v>54</v>
      </c>
      <c r="C41" s="4">
        <v>336</v>
      </c>
      <c r="D41" s="4">
        <v>924</v>
      </c>
      <c r="E41" s="4">
        <v>102</v>
      </c>
      <c r="F41" s="4">
        <v>1037</v>
      </c>
      <c r="G41" s="4">
        <v>336</v>
      </c>
      <c r="H41" s="4">
        <v>955</v>
      </c>
      <c r="I41" s="4">
        <v>115</v>
      </c>
      <c r="J41" s="4">
        <v>1113</v>
      </c>
      <c r="K41" s="4">
        <v>361</v>
      </c>
      <c r="L41" s="4">
        <v>960</v>
      </c>
      <c r="M41" s="4">
        <v>125</v>
      </c>
      <c r="N41" s="4">
        <v>1136</v>
      </c>
      <c r="O41" s="4">
        <v>352</v>
      </c>
      <c r="P41" s="4">
        <v>939</v>
      </c>
      <c r="Q41" s="4">
        <v>159</v>
      </c>
      <c r="R41" s="4">
        <v>1175</v>
      </c>
      <c r="S41" s="4">
        <v>355</v>
      </c>
      <c r="T41" s="4">
        <v>929</v>
      </c>
      <c r="U41" s="4">
        <v>164</v>
      </c>
      <c r="V41" s="4">
        <v>1246</v>
      </c>
    </row>
    <row r="42" spans="1:22" ht="16" x14ac:dyDescent="0.2">
      <c r="A42" s="3" t="s">
        <v>9</v>
      </c>
      <c r="B42" s="3" t="s">
        <v>55</v>
      </c>
      <c r="C42" s="4">
        <v>868</v>
      </c>
      <c r="D42" s="4">
        <v>2897</v>
      </c>
      <c r="E42" s="4">
        <v>225</v>
      </c>
      <c r="F42" s="4">
        <v>1561</v>
      </c>
      <c r="G42" s="4">
        <v>861</v>
      </c>
      <c r="H42" s="4">
        <v>2876</v>
      </c>
      <c r="I42" s="4">
        <v>239</v>
      </c>
      <c r="J42" s="4">
        <v>1612</v>
      </c>
      <c r="K42" s="4">
        <v>878</v>
      </c>
      <c r="L42" s="4">
        <v>2932</v>
      </c>
      <c r="M42" s="4">
        <v>237</v>
      </c>
      <c r="N42" s="4">
        <v>1612</v>
      </c>
      <c r="O42" s="4">
        <v>840</v>
      </c>
      <c r="P42" s="4">
        <v>2999</v>
      </c>
      <c r="Q42" s="4">
        <v>223</v>
      </c>
      <c r="R42" s="4">
        <v>1659</v>
      </c>
      <c r="S42" s="4">
        <v>857</v>
      </c>
      <c r="T42" s="4">
        <v>3130</v>
      </c>
      <c r="U42" s="4">
        <v>230</v>
      </c>
      <c r="V42" s="4">
        <v>1722</v>
      </c>
    </row>
    <row r="43" spans="1:22" ht="16" x14ac:dyDescent="0.2">
      <c r="A43" s="3" t="s">
        <v>9</v>
      </c>
      <c r="B43" s="3" t="s">
        <v>56</v>
      </c>
      <c r="C43" s="4">
        <v>2635</v>
      </c>
      <c r="D43" s="4">
        <v>5826</v>
      </c>
      <c r="E43" s="4">
        <v>391</v>
      </c>
      <c r="F43" s="4">
        <v>1974</v>
      </c>
      <c r="G43" s="4">
        <v>2654</v>
      </c>
      <c r="H43" s="4">
        <v>5845</v>
      </c>
      <c r="I43" s="4">
        <v>405</v>
      </c>
      <c r="J43" s="4">
        <v>2020</v>
      </c>
      <c r="K43" s="4">
        <v>2747</v>
      </c>
      <c r="L43" s="4">
        <v>5872</v>
      </c>
      <c r="M43" s="4">
        <v>421</v>
      </c>
      <c r="N43" s="4">
        <v>1996</v>
      </c>
      <c r="O43" s="4">
        <v>2444</v>
      </c>
      <c r="P43" s="4">
        <v>5455</v>
      </c>
      <c r="Q43" s="4">
        <v>854</v>
      </c>
      <c r="R43" s="4">
        <v>2465</v>
      </c>
      <c r="S43" s="4">
        <v>2155</v>
      </c>
      <c r="T43" s="4">
        <v>5121</v>
      </c>
      <c r="U43" s="4">
        <v>1504</v>
      </c>
      <c r="V43" s="4">
        <v>2985</v>
      </c>
    </row>
    <row r="44" spans="1:22" ht="16" x14ac:dyDescent="0.2">
      <c r="A44" s="3" t="s">
        <v>9</v>
      </c>
      <c r="B44" s="3" t="s">
        <v>57</v>
      </c>
      <c r="C44" s="4">
        <v>1111</v>
      </c>
      <c r="D44" s="4">
        <v>2812</v>
      </c>
      <c r="E44" s="4">
        <v>142</v>
      </c>
      <c r="F44" s="4">
        <v>1703</v>
      </c>
      <c r="G44" s="4">
        <v>1044</v>
      </c>
      <c r="H44" s="4">
        <v>2737</v>
      </c>
      <c r="I44" s="4">
        <v>142</v>
      </c>
      <c r="J44" s="4">
        <v>1734</v>
      </c>
      <c r="K44" s="4">
        <v>997</v>
      </c>
      <c r="L44" s="4">
        <v>2791</v>
      </c>
      <c r="M44" s="4">
        <v>149</v>
      </c>
      <c r="N44" s="4">
        <v>1705</v>
      </c>
      <c r="O44" s="4">
        <v>1006</v>
      </c>
      <c r="P44" s="4">
        <v>2848</v>
      </c>
      <c r="Q44" s="4">
        <v>153</v>
      </c>
      <c r="R44" s="4">
        <v>1817</v>
      </c>
      <c r="S44" s="4">
        <v>1006</v>
      </c>
      <c r="T44" s="4">
        <v>2836</v>
      </c>
      <c r="U44" s="4">
        <v>158</v>
      </c>
      <c r="V44" s="4">
        <v>1854</v>
      </c>
    </row>
    <row r="45" spans="1:22" ht="16" x14ac:dyDescent="0.2">
      <c r="A45" s="3" t="s">
        <v>9</v>
      </c>
      <c r="B45" s="3" t="s">
        <v>58</v>
      </c>
      <c r="C45" s="4">
        <v>2571</v>
      </c>
      <c r="D45" s="4">
        <v>6274</v>
      </c>
      <c r="E45" s="4">
        <v>377</v>
      </c>
      <c r="F45" s="4">
        <v>2264</v>
      </c>
      <c r="G45" s="4">
        <v>2606</v>
      </c>
      <c r="H45" s="4">
        <v>6434</v>
      </c>
      <c r="I45" s="4">
        <v>400</v>
      </c>
      <c r="J45" s="4">
        <v>2325</v>
      </c>
      <c r="K45" s="4">
        <v>2765</v>
      </c>
      <c r="L45" s="4">
        <v>6771</v>
      </c>
      <c r="M45" s="4">
        <v>415</v>
      </c>
      <c r="N45" s="4">
        <v>2383</v>
      </c>
      <c r="O45" s="4">
        <v>2854</v>
      </c>
      <c r="P45" s="4">
        <v>6930</v>
      </c>
      <c r="Q45" s="4">
        <v>454</v>
      </c>
      <c r="R45" s="4">
        <v>2481</v>
      </c>
      <c r="S45" s="4">
        <v>2776</v>
      </c>
      <c r="T45" s="4">
        <v>6866</v>
      </c>
      <c r="U45" s="4">
        <v>466</v>
      </c>
      <c r="V45" s="4">
        <v>2464</v>
      </c>
    </row>
    <row r="46" spans="1:22" ht="16" x14ac:dyDescent="0.2">
      <c r="A46" s="3" t="s">
        <v>10</v>
      </c>
      <c r="B46" s="3" t="s">
        <v>59</v>
      </c>
      <c r="C46" s="4">
        <v>2502</v>
      </c>
      <c r="D46" s="4">
        <v>1840</v>
      </c>
      <c r="E46" s="4">
        <v>74</v>
      </c>
      <c r="F46" s="4">
        <v>461</v>
      </c>
      <c r="G46" s="4">
        <v>2502</v>
      </c>
      <c r="H46" s="4">
        <v>1840</v>
      </c>
      <c r="I46" s="4">
        <v>74</v>
      </c>
      <c r="J46" s="4">
        <v>461</v>
      </c>
      <c r="K46" s="4">
        <v>2438</v>
      </c>
      <c r="L46" s="4">
        <v>1862</v>
      </c>
      <c r="M46" s="4">
        <v>58</v>
      </c>
      <c r="N46" s="4">
        <v>457</v>
      </c>
      <c r="O46" s="4">
        <v>2084</v>
      </c>
      <c r="P46" s="4">
        <v>1812</v>
      </c>
      <c r="Q46" s="4">
        <v>52</v>
      </c>
      <c r="R46" s="4">
        <v>390</v>
      </c>
      <c r="S46" s="4">
        <v>2038</v>
      </c>
      <c r="T46" s="4">
        <v>1977</v>
      </c>
      <c r="U46" s="4">
        <v>42</v>
      </c>
      <c r="V46" s="4">
        <v>404</v>
      </c>
    </row>
    <row r="47" spans="1:22" ht="16" x14ac:dyDescent="0.2">
      <c r="A47" s="3" t="s">
        <v>10</v>
      </c>
      <c r="B47" s="3" t="s">
        <v>60</v>
      </c>
      <c r="C47" s="4">
        <v>460</v>
      </c>
      <c r="D47" s="4">
        <v>81</v>
      </c>
      <c r="E47" s="4">
        <v>7</v>
      </c>
      <c r="F47" s="4">
        <v>17</v>
      </c>
      <c r="G47" s="4">
        <v>460</v>
      </c>
      <c r="H47" s="4">
        <v>81</v>
      </c>
      <c r="I47" s="4">
        <v>7</v>
      </c>
      <c r="J47" s="4">
        <v>17</v>
      </c>
      <c r="K47" s="4">
        <v>527</v>
      </c>
      <c r="L47" s="4">
        <v>125</v>
      </c>
      <c r="M47" s="4">
        <v>5</v>
      </c>
      <c r="N47" s="4">
        <v>5</v>
      </c>
      <c r="O47" s="4">
        <v>506</v>
      </c>
      <c r="P47" s="4">
        <v>121</v>
      </c>
      <c r="Q47" s="4">
        <v>5</v>
      </c>
      <c r="R47" s="4">
        <v>5</v>
      </c>
      <c r="S47" s="4">
        <v>481</v>
      </c>
      <c r="T47" s="4">
        <v>126</v>
      </c>
      <c r="U47" s="4">
        <v>5</v>
      </c>
      <c r="V47" s="4">
        <v>5</v>
      </c>
    </row>
    <row r="48" spans="1:22" ht="16" x14ac:dyDescent="0.2">
      <c r="A48" s="3" t="s">
        <v>10</v>
      </c>
      <c r="B48" s="3" t="s">
        <v>61</v>
      </c>
      <c r="C48" s="4">
        <v>306</v>
      </c>
      <c r="D48" s="4">
        <v>86</v>
      </c>
      <c r="E48" s="4">
        <v>9</v>
      </c>
      <c r="F48" s="4">
        <v>55</v>
      </c>
      <c r="G48" s="4">
        <v>306</v>
      </c>
      <c r="H48" s="4">
        <v>86</v>
      </c>
      <c r="I48" s="4">
        <v>9</v>
      </c>
      <c r="J48" s="4">
        <v>55</v>
      </c>
      <c r="K48" s="4">
        <v>304</v>
      </c>
      <c r="L48" s="4">
        <v>81</v>
      </c>
      <c r="M48" s="4">
        <v>6</v>
      </c>
      <c r="N48" s="4">
        <v>58</v>
      </c>
      <c r="O48" s="4">
        <v>310</v>
      </c>
      <c r="P48" s="4">
        <v>88</v>
      </c>
      <c r="Q48" s="4">
        <v>7</v>
      </c>
      <c r="R48" s="4">
        <v>58</v>
      </c>
      <c r="S48" s="4">
        <v>295</v>
      </c>
      <c r="T48" s="4">
        <v>95</v>
      </c>
      <c r="U48" s="4">
        <v>11</v>
      </c>
      <c r="V48" s="4">
        <v>53</v>
      </c>
    </row>
    <row r="49" spans="1:22" ht="16" x14ac:dyDescent="0.2">
      <c r="A49" s="3" t="s">
        <v>10</v>
      </c>
      <c r="B49" s="3" t="s">
        <v>62</v>
      </c>
      <c r="C49" s="4">
        <v>42</v>
      </c>
      <c r="D49" s="4">
        <v>24</v>
      </c>
      <c r="E49" s="4">
        <v>6</v>
      </c>
      <c r="F49" s="4">
        <v>8</v>
      </c>
      <c r="G49" s="4">
        <v>44</v>
      </c>
      <c r="H49" s="4">
        <v>29</v>
      </c>
      <c r="I49" s="4">
        <v>6</v>
      </c>
      <c r="J49" s="4">
        <v>9</v>
      </c>
      <c r="K49" s="4">
        <v>44</v>
      </c>
      <c r="L49" s="4">
        <v>29</v>
      </c>
      <c r="M49" s="4">
        <v>6</v>
      </c>
      <c r="N49" s="4">
        <v>9</v>
      </c>
      <c r="O49" s="4">
        <v>44</v>
      </c>
      <c r="P49" s="4">
        <v>21</v>
      </c>
      <c r="Q49" s="4">
        <v>6</v>
      </c>
      <c r="R49" s="4">
        <v>19</v>
      </c>
      <c r="S49" s="4">
        <v>42</v>
      </c>
      <c r="T49" s="4">
        <v>28</v>
      </c>
      <c r="U49" s="4">
        <v>6</v>
      </c>
      <c r="V49" s="4">
        <v>14</v>
      </c>
    </row>
    <row r="50" spans="1:22" ht="16" x14ac:dyDescent="0.2">
      <c r="A50" s="3" t="s">
        <v>10</v>
      </c>
      <c r="B50" s="3" t="s">
        <v>63</v>
      </c>
      <c r="C50" s="4">
        <v>389</v>
      </c>
      <c r="D50" s="4">
        <v>288</v>
      </c>
      <c r="E50" s="4">
        <v>25</v>
      </c>
      <c r="F50" s="4">
        <v>142</v>
      </c>
      <c r="G50" s="4">
        <v>389</v>
      </c>
      <c r="H50" s="4">
        <v>288</v>
      </c>
      <c r="I50" s="4">
        <v>25</v>
      </c>
      <c r="J50" s="4">
        <v>142</v>
      </c>
      <c r="K50" s="4">
        <v>389</v>
      </c>
      <c r="L50" s="4">
        <v>306</v>
      </c>
      <c r="M50" s="4">
        <v>30</v>
      </c>
      <c r="N50" s="4">
        <v>148</v>
      </c>
      <c r="O50" s="4">
        <v>371</v>
      </c>
      <c r="P50" s="4">
        <v>301</v>
      </c>
      <c r="Q50" s="4">
        <v>33</v>
      </c>
      <c r="R50" s="4">
        <v>153</v>
      </c>
      <c r="S50" s="4">
        <v>517</v>
      </c>
      <c r="T50" s="4">
        <v>333</v>
      </c>
      <c r="U50" s="4">
        <v>28</v>
      </c>
      <c r="V50" s="4">
        <v>165</v>
      </c>
    </row>
    <row r="51" spans="1:22" ht="16" x14ac:dyDescent="0.2">
      <c r="A51" s="3" t="s">
        <v>10</v>
      </c>
      <c r="B51" s="3" t="s">
        <v>64</v>
      </c>
      <c r="C51" s="4">
        <v>66</v>
      </c>
      <c r="D51" s="4">
        <v>29</v>
      </c>
      <c r="E51" s="4">
        <v>6</v>
      </c>
      <c r="F51" s="4">
        <v>13</v>
      </c>
      <c r="G51" s="4">
        <v>69</v>
      </c>
      <c r="H51" s="4">
        <v>33</v>
      </c>
      <c r="I51" s="4">
        <v>9</v>
      </c>
      <c r="J51" s="4">
        <v>15</v>
      </c>
      <c r="K51" s="4">
        <v>71</v>
      </c>
      <c r="L51" s="4">
        <v>33</v>
      </c>
      <c r="M51" s="4">
        <v>11</v>
      </c>
      <c r="N51" s="4">
        <v>15</v>
      </c>
      <c r="O51" s="4">
        <v>73</v>
      </c>
      <c r="P51" s="4">
        <v>31</v>
      </c>
      <c r="Q51" s="4">
        <v>9</v>
      </c>
      <c r="R51" s="4">
        <v>15</v>
      </c>
      <c r="S51" s="4">
        <v>68</v>
      </c>
      <c r="T51" s="4">
        <v>33</v>
      </c>
      <c r="U51" s="4">
        <v>11</v>
      </c>
      <c r="V51" s="4">
        <v>10</v>
      </c>
    </row>
    <row r="52" spans="1:22" ht="16" x14ac:dyDescent="0.2">
      <c r="A52" s="3" t="s">
        <v>10</v>
      </c>
      <c r="B52" s="3" t="s">
        <v>65</v>
      </c>
      <c r="C52" s="4">
        <v>7875</v>
      </c>
      <c r="D52" s="4">
        <v>10216</v>
      </c>
      <c r="E52" s="4">
        <v>521</v>
      </c>
      <c r="F52" s="4">
        <v>2055</v>
      </c>
      <c r="G52" s="4">
        <v>3505</v>
      </c>
      <c r="H52" s="4">
        <v>4836</v>
      </c>
      <c r="I52" s="4">
        <v>240</v>
      </c>
      <c r="J52" s="4">
        <v>961</v>
      </c>
      <c r="K52" s="4">
        <v>3265</v>
      </c>
      <c r="L52" s="4">
        <v>4703</v>
      </c>
      <c r="M52" s="4">
        <v>209</v>
      </c>
      <c r="N52" s="4">
        <v>801</v>
      </c>
      <c r="O52" s="4">
        <v>3105</v>
      </c>
      <c r="P52" s="4">
        <v>4655</v>
      </c>
      <c r="Q52" s="4">
        <v>219</v>
      </c>
      <c r="R52" s="4">
        <v>883</v>
      </c>
      <c r="S52" s="4">
        <v>1612</v>
      </c>
      <c r="T52" s="4">
        <v>2941</v>
      </c>
      <c r="U52" s="4">
        <v>5</v>
      </c>
      <c r="V52" s="4">
        <v>5</v>
      </c>
    </row>
    <row r="53" spans="1:22" ht="16" x14ac:dyDescent="0.2">
      <c r="A53" s="3" t="s">
        <v>10</v>
      </c>
      <c r="B53" s="3" t="s">
        <v>66</v>
      </c>
      <c r="C53" s="4">
        <v>444</v>
      </c>
      <c r="D53" s="4">
        <v>149</v>
      </c>
      <c r="E53" s="4">
        <v>6</v>
      </c>
      <c r="F53" s="4">
        <v>37</v>
      </c>
      <c r="G53" s="4">
        <v>444</v>
      </c>
      <c r="H53" s="4">
        <v>149</v>
      </c>
      <c r="I53" s="4">
        <v>6</v>
      </c>
      <c r="J53" s="4">
        <v>37</v>
      </c>
      <c r="K53" s="4">
        <v>405</v>
      </c>
      <c r="L53" s="4">
        <v>131</v>
      </c>
      <c r="M53" s="4">
        <v>6</v>
      </c>
      <c r="N53" s="4">
        <v>28</v>
      </c>
      <c r="O53" s="4">
        <v>581</v>
      </c>
      <c r="P53" s="4">
        <v>187</v>
      </c>
      <c r="Q53" s="4">
        <v>6</v>
      </c>
      <c r="R53" s="4">
        <v>44</v>
      </c>
      <c r="S53" s="4">
        <v>597</v>
      </c>
      <c r="T53" s="4">
        <v>206</v>
      </c>
      <c r="U53" s="4">
        <v>6</v>
      </c>
      <c r="V53" s="4">
        <v>43</v>
      </c>
    </row>
    <row r="54" spans="1:22" ht="16" x14ac:dyDescent="0.2">
      <c r="A54" s="3" t="s">
        <v>11</v>
      </c>
      <c r="B54" s="3" t="s">
        <v>67</v>
      </c>
      <c r="C54" s="4">
        <v>102</v>
      </c>
      <c r="D54" s="4">
        <v>86</v>
      </c>
      <c r="E54" s="4">
        <v>13</v>
      </c>
      <c r="F54" s="4">
        <v>54</v>
      </c>
      <c r="G54" s="4">
        <v>102</v>
      </c>
      <c r="H54" s="4">
        <v>86</v>
      </c>
      <c r="I54" s="4">
        <v>13</v>
      </c>
      <c r="J54" s="4">
        <v>54</v>
      </c>
      <c r="K54" s="4">
        <v>68</v>
      </c>
      <c r="L54" s="4">
        <v>77</v>
      </c>
      <c r="M54" s="4">
        <v>13</v>
      </c>
      <c r="N54" s="4">
        <v>32</v>
      </c>
      <c r="O54" s="4">
        <v>75</v>
      </c>
      <c r="P54" s="4">
        <v>91</v>
      </c>
      <c r="Q54" s="4">
        <v>11</v>
      </c>
      <c r="R54" s="4">
        <v>33</v>
      </c>
      <c r="S54" s="4">
        <v>84</v>
      </c>
      <c r="T54" s="4">
        <v>92</v>
      </c>
      <c r="U54" s="4">
        <v>11</v>
      </c>
      <c r="V54" s="4">
        <v>39</v>
      </c>
    </row>
    <row r="55" spans="1:22" ht="16" x14ac:dyDescent="0.2">
      <c r="A55" s="3" t="s">
        <v>11</v>
      </c>
      <c r="B55" s="3" t="s">
        <v>68</v>
      </c>
      <c r="C55" s="4">
        <v>109</v>
      </c>
      <c r="D55" s="4">
        <v>248</v>
      </c>
      <c r="E55" s="4">
        <v>6</v>
      </c>
      <c r="F55" s="4">
        <v>64</v>
      </c>
      <c r="G55" s="4">
        <v>102</v>
      </c>
      <c r="H55" s="4">
        <v>226</v>
      </c>
      <c r="I55" s="4">
        <v>6</v>
      </c>
      <c r="J55" s="4">
        <v>74</v>
      </c>
      <c r="K55" s="4">
        <v>114</v>
      </c>
      <c r="L55" s="4">
        <v>317</v>
      </c>
      <c r="M55" s="4">
        <v>5</v>
      </c>
      <c r="N55" s="4">
        <v>5</v>
      </c>
      <c r="O55" s="4">
        <v>106</v>
      </c>
      <c r="P55" s="4">
        <v>212</v>
      </c>
      <c r="Q55" s="4">
        <v>6</v>
      </c>
      <c r="R55" s="4">
        <v>86</v>
      </c>
      <c r="S55" s="4">
        <v>92</v>
      </c>
      <c r="T55" s="4">
        <v>236</v>
      </c>
      <c r="U55" s="4">
        <v>14</v>
      </c>
      <c r="V55" s="4">
        <v>87</v>
      </c>
    </row>
    <row r="56" spans="1:22" ht="16" x14ac:dyDescent="0.2">
      <c r="A56" s="3" t="s">
        <v>11</v>
      </c>
      <c r="B56" s="3" t="s">
        <v>69</v>
      </c>
      <c r="C56" s="4">
        <v>6472</v>
      </c>
      <c r="D56" s="4">
        <v>5436</v>
      </c>
      <c r="E56" s="4">
        <v>202</v>
      </c>
      <c r="F56" s="4">
        <v>1142</v>
      </c>
      <c r="G56" s="4">
        <v>6719</v>
      </c>
      <c r="H56" s="4">
        <v>5672</v>
      </c>
      <c r="I56" s="4">
        <v>197</v>
      </c>
      <c r="J56" s="4">
        <v>1107</v>
      </c>
      <c r="K56" s="4">
        <v>6792</v>
      </c>
      <c r="L56" s="4">
        <v>6376</v>
      </c>
      <c r="M56" s="4">
        <v>85</v>
      </c>
      <c r="N56" s="4">
        <v>405</v>
      </c>
      <c r="O56" s="4">
        <v>6807</v>
      </c>
      <c r="P56" s="4">
        <v>5923</v>
      </c>
      <c r="Q56" s="4">
        <v>137</v>
      </c>
      <c r="R56" s="4">
        <v>882</v>
      </c>
      <c r="S56" s="4">
        <v>7172</v>
      </c>
      <c r="T56" s="4">
        <v>6446</v>
      </c>
      <c r="U56" s="4">
        <v>136</v>
      </c>
      <c r="V56" s="4">
        <v>909</v>
      </c>
    </row>
    <row r="57" spans="1:22" ht="16" x14ac:dyDescent="0.2">
      <c r="A57" s="3" t="s">
        <v>11</v>
      </c>
      <c r="B57" s="3" t="s">
        <v>70</v>
      </c>
      <c r="C57" s="4">
        <v>3823</v>
      </c>
      <c r="D57" s="4">
        <v>389</v>
      </c>
      <c r="E57" s="4">
        <v>15</v>
      </c>
      <c r="F57" s="4">
        <v>44</v>
      </c>
      <c r="G57" s="4">
        <v>3853</v>
      </c>
      <c r="H57" s="4">
        <v>403</v>
      </c>
      <c r="I57" s="4">
        <v>17</v>
      </c>
      <c r="J57" s="4">
        <v>44</v>
      </c>
      <c r="K57" s="4">
        <v>3903</v>
      </c>
      <c r="L57" s="4">
        <v>482</v>
      </c>
      <c r="M57" s="4">
        <v>17</v>
      </c>
      <c r="N57" s="4">
        <v>9</v>
      </c>
      <c r="O57" s="4">
        <v>3601</v>
      </c>
      <c r="P57" s="4">
        <v>512</v>
      </c>
      <c r="Q57" s="4">
        <v>354</v>
      </c>
      <c r="R57" s="4">
        <v>11</v>
      </c>
      <c r="S57" s="4">
        <v>3245</v>
      </c>
      <c r="T57" s="4">
        <v>528</v>
      </c>
      <c r="U57" s="4">
        <v>1054</v>
      </c>
      <c r="V57" s="4">
        <v>44</v>
      </c>
    </row>
    <row r="58" spans="1:22" ht="16" x14ac:dyDescent="0.2">
      <c r="A58" s="3" t="s">
        <v>11</v>
      </c>
      <c r="B58" s="3" t="s">
        <v>71</v>
      </c>
      <c r="C58" s="4">
        <v>7</v>
      </c>
      <c r="D58" s="4">
        <v>17</v>
      </c>
      <c r="E58" s="4">
        <v>5</v>
      </c>
      <c r="F58" s="4">
        <v>6</v>
      </c>
      <c r="G58" s="4">
        <v>9</v>
      </c>
      <c r="H58" s="4">
        <v>18</v>
      </c>
      <c r="I58" s="4">
        <v>5</v>
      </c>
      <c r="J58" s="4">
        <v>7</v>
      </c>
      <c r="K58" s="4">
        <v>13</v>
      </c>
      <c r="L58" s="4">
        <v>21</v>
      </c>
      <c r="M58" s="4">
        <v>5</v>
      </c>
      <c r="N58" s="4">
        <v>5</v>
      </c>
      <c r="O58" s="4">
        <v>9</v>
      </c>
      <c r="P58" s="4">
        <v>13</v>
      </c>
      <c r="Q58" s="4">
        <v>5</v>
      </c>
      <c r="R58" s="4">
        <v>7</v>
      </c>
      <c r="S58" s="4">
        <v>8</v>
      </c>
      <c r="T58" s="4">
        <v>10</v>
      </c>
      <c r="U58" s="4">
        <v>6</v>
      </c>
      <c r="V58" s="4">
        <v>7</v>
      </c>
    </row>
    <row r="59" spans="1:22" ht="16" x14ac:dyDescent="0.2">
      <c r="A59" s="3" t="s">
        <v>11</v>
      </c>
      <c r="B59" s="3" t="s">
        <v>72</v>
      </c>
      <c r="C59" s="4">
        <v>275</v>
      </c>
      <c r="D59" s="4">
        <v>602</v>
      </c>
      <c r="E59" s="4">
        <v>21</v>
      </c>
      <c r="F59" s="4">
        <v>240</v>
      </c>
      <c r="G59" s="4">
        <v>283</v>
      </c>
      <c r="H59" s="4">
        <v>619</v>
      </c>
      <c r="I59" s="4">
        <v>26</v>
      </c>
      <c r="J59" s="4">
        <v>245</v>
      </c>
      <c r="K59" s="4">
        <v>281</v>
      </c>
      <c r="L59" s="4">
        <v>681</v>
      </c>
      <c r="M59" s="4">
        <v>26</v>
      </c>
      <c r="N59" s="4">
        <v>238</v>
      </c>
      <c r="O59" s="4">
        <v>301</v>
      </c>
      <c r="P59" s="4">
        <v>722</v>
      </c>
      <c r="Q59" s="4">
        <v>26</v>
      </c>
      <c r="R59" s="4">
        <v>267</v>
      </c>
      <c r="S59" s="4">
        <v>314</v>
      </c>
      <c r="T59" s="4">
        <v>748</v>
      </c>
      <c r="U59" s="4">
        <v>35</v>
      </c>
      <c r="V59" s="4">
        <v>282</v>
      </c>
    </row>
    <row r="60" spans="1:22" ht="16" x14ac:dyDescent="0.2">
      <c r="A60" s="3" t="s">
        <v>11</v>
      </c>
      <c r="B60" s="3" t="s">
        <v>73</v>
      </c>
      <c r="C60" s="4">
        <v>117</v>
      </c>
      <c r="D60" s="4">
        <v>195</v>
      </c>
      <c r="E60" s="4">
        <v>9</v>
      </c>
      <c r="F60" s="4">
        <v>51</v>
      </c>
      <c r="G60" s="4">
        <v>117</v>
      </c>
      <c r="H60" s="4">
        <v>195</v>
      </c>
      <c r="I60" s="4">
        <v>9</v>
      </c>
      <c r="J60" s="4">
        <v>51</v>
      </c>
      <c r="K60" s="4">
        <v>106</v>
      </c>
      <c r="L60" s="4">
        <v>184</v>
      </c>
      <c r="M60" s="4">
        <v>8</v>
      </c>
      <c r="N60" s="4">
        <v>54</v>
      </c>
      <c r="O60" s="4">
        <v>101</v>
      </c>
      <c r="P60" s="4">
        <v>168</v>
      </c>
      <c r="Q60" s="4">
        <v>8</v>
      </c>
      <c r="R60" s="4">
        <v>69</v>
      </c>
      <c r="S60" s="4">
        <v>108</v>
      </c>
      <c r="T60" s="4">
        <v>172</v>
      </c>
      <c r="U60" s="4">
        <v>10</v>
      </c>
      <c r="V60" s="4">
        <v>77</v>
      </c>
    </row>
    <row r="61" spans="1:22" ht="16" x14ac:dyDescent="0.2">
      <c r="A61" s="3" t="s">
        <v>11</v>
      </c>
      <c r="B61" s="3" t="s">
        <v>74</v>
      </c>
      <c r="C61" s="4">
        <v>62</v>
      </c>
      <c r="D61" s="4">
        <v>63</v>
      </c>
      <c r="E61" s="4">
        <v>6</v>
      </c>
      <c r="F61" s="4">
        <v>27</v>
      </c>
      <c r="G61" s="4">
        <v>61</v>
      </c>
      <c r="H61" s="4">
        <v>65</v>
      </c>
      <c r="I61" s="4">
        <v>6</v>
      </c>
      <c r="J61" s="4">
        <v>26</v>
      </c>
      <c r="K61" s="4">
        <v>63</v>
      </c>
      <c r="L61" s="4">
        <v>61</v>
      </c>
      <c r="M61" s="4">
        <v>6</v>
      </c>
      <c r="N61" s="4">
        <v>30</v>
      </c>
      <c r="O61" s="4">
        <v>59</v>
      </c>
      <c r="P61" s="4">
        <v>63</v>
      </c>
      <c r="Q61" s="4">
        <v>6</v>
      </c>
      <c r="R61" s="4">
        <v>22</v>
      </c>
      <c r="S61" s="4">
        <v>58</v>
      </c>
      <c r="T61" s="4">
        <v>61</v>
      </c>
      <c r="U61" s="4">
        <v>6</v>
      </c>
      <c r="V61" s="4">
        <v>19</v>
      </c>
    </row>
    <row r="62" spans="1:22" ht="16" x14ac:dyDescent="0.2">
      <c r="A62" s="3" t="s">
        <v>11</v>
      </c>
      <c r="B62" s="3" t="s">
        <v>75</v>
      </c>
      <c r="C62" s="4">
        <v>14550</v>
      </c>
      <c r="D62" s="4">
        <v>6003</v>
      </c>
      <c r="E62" s="4">
        <v>109</v>
      </c>
      <c r="F62" s="4">
        <v>1688</v>
      </c>
      <c r="G62" s="4">
        <v>14721</v>
      </c>
      <c r="H62" s="4">
        <v>6087</v>
      </c>
      <c r="I62" s="4">
        <v>106</v>
      </c>
      <c r="J62" s="4">
        <v>1770</v>
      </c>
      <c r="K62" s="4">
        <v>14629</v>
      </c>
      <c r="L62" s="4">
        <v>6067</v>
      </c>
      <c r="M62" s="4">
        <v>119</v>
      </c>
      <c r="N62" s="4">
        <v>1818</v>
      </c>
      <c r="O62" s="4">
        <v>14659</v>
      </c>
      <c r="P62" s="4">
        <v>6026</v>
      </c>
      <c r="Q62" s="4">
        <v>152</v>
      </c>
      <c r="R62" s="4">
        <v>1900</v>
      </c>
      <c r="S62" s="4">
        <v>14762</v>
      </c>
      <c r="T62" s="4">
        <v>6030</v>
      </c>
      <c r="U62" s="4">
        <v>145</v>
      </c>
      <c r="V62" s="4">
        <v>1883</v>
      </c>
    </row>
    <row r="63" spans="1:22" ht="16" x14ac:dyDescent="0.2">
      <c r="A63" s="3" t="s">
        <v>11</v>
      </c>
      <c r="B63" s="3" t="s">
        <v>76</v>
      </c>
      <c r="C63" s="4">
        <v>273</v>
      </c>
      <c r="D63" s="4">
        <v>363</v>
      </c>
      <c r="E63" s="4">
        <v>7</v>
      </c>
      <c r="F63" s="4">
        <v>92</v>
      </c>
      <c r="G63" s="4">
        <v>284</v>
      </c>
      <c r="H63" s="4">
        <v>381</v>
      </c>
      <c r="I63" s="4">
        <v>6</v>
      </c>
      <c r="J63" s="4">
        <v>86</v>
      </c>
      <c r="K63" s="4">
        <v>295</v>
      </c>
      <c r="L63" s="4">
        <v>409</v>
      </c>
      <c r="M63" s="4">
        <v>7</v>
      </c>
      <c r="N63" s="4">
        <v>96</v>
      </c>
      <c r="O63" s="4">
        <v>301</v>
      </c>
      <c r="P63" s="4">
        <v>468</v>
      </c>
      <c r="Q63" s="4">
        <v>6</v>
      </c>
      <c r="R63" s="4">
        <v>97</v>
      </c>
      <c r="S63" s="4">
        <v>295</v>
      </c>
      <c r="T63" s="4">
        <v>479</v>
      </c>
      <c r="U63" s="4">
        <v>6</v>
      </c>
      <c r="V63" s="4">
        <v>98</v>
      </c>
    </row>
    <row r="64" spans="1:22" ht="16" x14ac:dyDescent="0.2">
      <c r="A64" s="3" t="s">
        <v>11</v>
      </c>
      <c r="B64" s="3" t="s">
        <v>77</v>
      </c>
      <c r="C64" s="4">
        <v>613</v>
      </c>
      <c r="D64" s="4">
        <v>266</v>
      </c>
      <c r="E64" s="4">
        <v>7</v>
      </c>
      <c r="F64" s="4">
        <v>60</v>
      </c>
      <c r="G64" s="4">
        <v>609</v>
      </c>
      <c r="H64" s="4">
        <v>264</v>
      </c>
      <c r="I64" s="4">
        <v>6</v>
      </c>
      <c r="J64" s="4">
        <v>54</v>
      </c>
      <c r="K64" s="4">
        <v>630</v>
      </c>
      <c r="L64" s="4">
        <v>282</v>
      </c>
      <c r="M64" s="4">
        <v>6</v>
      </c>
      <c r="N64" s="4">
        <v>49</v>
      </c>
      <c r="O64" s="4">
        <v>655</v>
      </c>
      <c r="P64" s="4">
        <v>286</v>
      </c>
      <c r="Q64" s="4">
        <v>6</v>
      </c>
      <c r="R64" s="4">
        <v>57</v>
      </c>
      <c r="S64" s="4">
        <v>676</v>
      </c>
      <c r="T64" s="4">
        <v>291</v>
      </c>
      <c r="U64" s="4">
        <v>6</v>
      </c>
      <c r="V64" s="4">
        <v>60</v>
      </c>
    </row>
    <row r="65" spans="1:22" ht="16" x14ac:dyDescent="0.2">
      <c r="A65" s="3" t="s">
        <v>11</v>
      </c>
      <c r="B65" s="3" t="s">
        <v>78</v>
      </c>
      <c r="C65" s="4">
        <v>156</v>
      </c>
      <c r="D65" s="4">
        <v>151</v>
      </c>
      <c r="E65" s="4">
        <v>6</v>
      </c>
      <c r="F65" s="4">
        <v>18</v>
      </c>
      <c r="G65" s="4">
        <v>159</v>
      </c>
      <c r="H65" s="4">
        <v>158</v>
      </c>
      <c r="I65" s="4">
        <v>9</v>
      </c>
      <c r="J65" s="4">
        <v>29</v>
      </c>
      <c r="K65" s="4">
        <v>182</v>
      </c>
      <c r="L65" s="4">
        <v>173</v>
      </c>
      <c r="M65" s="4">
        <v>6</v>
      </c>
      <c r="N65" s="4">
        <v>28</v>
      </c>
      <c r="O65" s="4">
        <v>167</v>
      </c>
      <c r="P65" s="4">
        <v>183</v>
      </c>
      <c r="Q65" s="4">
        <v>6</v>
      </c>
      <c r="R65" s="4">
        <v>33</v>
      </c>
      <c r="S65" s="4">
        <v>154</v>
      </c>
      <c r="T65" s="4">
        <v>175</v>
      </c>
      <c r="U65" s="4">
        <v>6</v>
      </c>
      <c r="V65" s="4">
        <v>24</v>
      </c>
    </row>
    <row r="66" spans="1:22" ht="16" x14ac:dyDescent="0.2">
      <c r="A66" s="3" t="s">
        <v>11</v>
      </c>
      <c r="B66" s="3" t="s">
        <v>79</v>
      </c>
      <c r="C66" s="4">
        <v>64</v>
      </c>
      <c r="D66" s="4">
        <v>33</v>
      </c>
      <c r="E66" s="4">
        <v>6</v>
      </c>
      <c r="F66" s="4">
        <v>15</v>
      </c>
      <c r="G66" s="4">
        <v>50</v>
      </c>
      <c r="H66" s="4">
        <v>37</v>
      </c>
      <c r="I66" s="4">
        <v>6</v>
      </c>
      <c r="J66" s="4">
        <v>13</v>
      </c>
      <c r="K66" s="4">
        <v>51</v>
      </c>
      <c r="L66" s="4">
        <v>37</v>
      </c>
      <c r="M66" s="4">
        <v>7</v>
      </c>
      <c r="N66" s="4">
        <v>13</v>
      </c>
      <c r="O66" s="4">
        <v>27</v>
      </c>
      <c r="P66" s="4">
        <v>15</v>
      </c>
      <c r="Q66" s="4">
        <v>6</v>
      </c>
      <c r="R66" s="4">
        <v>6</v>
      </c>
      <c r="S66" s="4">
        <v>27</v>
      </c>
      <c r="T66" s="4">
        <v>15</v>
      </c>
      <c r="U66" s="4">
        <v>6</v>
      </c>
      <c r="V66" s="4">
        <v>6</v>
      </c>
    </row>
    <row r="67" spans="1:22" ht="16" x14ac:dyDescent="0.2">
      <c r="A67" s="3" t="s">
        <v>11</v>
      </c>
      <c r="B67" s="3" t="s">
        <v>80</v>
      </c>
      <c r="C67" s="4">
        <v>88</v>
      </c>
      <c r="D67" s="4">
        <v>92</v>
      </c>
      <c r="E67" s="4">
        <v>6</v>
      </c>
      <c r="F67" s="4">
        <v>28</v>
      </c>
      <c r="G67" s="4">
        <v>91</v>
      </c>
      <c r="H67" s="4">
        <v>94</v>
      </c>
      <c r="I67" s="4">
        <v>6</v>
      </c>
      <c r="J67" s="4">
        <v>30</v>
      </c>
      <c r="K67" s="4">
        <v>97</v>
      </c>
      <c r="L67" s="4">
        <v>113</v>
      </c>
      <c r="M67" s="4">
        <v>6</v>
      </c>
      <c r="N67" s="4">
        <v>29</v>
      </c>
      <c r="O67" s="4">
        <v>93</v>
      </c>
      <c r="P67" s="4">
        <v>118</v>
      </c>
      <c r="Q67" s="4">
        <v>6</v>
      </c>
      <c r="R67" s="4">
        <v>35</v>
      </c>
      <c r="S67" s="4">
        <v>81</v>
      </c>
      <c r="T67" s="4">
        <v>118</v>
      </c>
      <c r="U67" s="4">
        <v>6</v>
      </c>
      <c r="V67" s="4">
        <v>39</v>
      </c>
    </row>
    <row r="68" spans="1:22" ht="16" x14ac:dyDescent="0.2">
      <c r="A68" s="3" t="s">
        <v>12</v>
      </c>
      <c r="B68" s="3" t="s">
        <v>81</v>
      </c>
      <c r="C68" s="4">
        <v>70</v>
      </c>
      <c r="D68" s="4">
        <v>106</v>
      </c>
      <c r="E68" s="4">
        <v>17</v>
      </c>
      <c r="F68" s="4">
        <v>52</v>
      </c>
      <c r="G68" s="4">
        <v>72</v>
      </c>
      <c r="H68" s="4">
        <v>107</v>
      </c>
      <c r="I68" s="4">
        <v>18</v>
      </c>
      <c r="J68" s="4">
        <v>53</v>
      </c>
      <c r="K68" s="4">
        <v>71</v>
      </c>
      <c r="L68" s="4">
        <v>99</v>
      </c>
      <c r="M68" s="4">
        <v>19</v>
      </c>
      <c r="N68" s="4">
        <v>58</v>
      </c>
      <c r="O68" s="4">
        <v>66</v>
      </c>
      <c r="P68" s="4">
        <v>90</v>
      </c>
      <c r="Q68" s="4">
        <v>17</v>
      </c>
      <c r="R68" s="4">
        <v>63</v>
      </c>
      <c r="S68" s="4">
        <v>68</v>
      </c>
      <c r="T68" s="4">
        <v>106</v>
      </c>
      <c r="U68" s="4">
        <v>18</v>
      </c>
      <c r="V68" s="4">
        <v>59</v>
      </c>
    </row>
    <row r="69" spans="1:22" ht="16" x14ac:dyDescent="0.2">
      <c r="A69" s="3" t="s">
        <v>12</v>
      </c>
      <c r="B69" s="3" t="s">
        <v>82</v>
      </c>
      <c r="C69" s="4">
        <v>416</v>
      </c>
      <c r="D69" s="4">
        <v>367</v>
      </c>
      <c r="E69" s="4">
        <v>22</v>
      </c>
      <c r="F69" s="4">
        <v>98</v>
      </c>
      <c r="G69" s="4">
        <v>310</v>
      </c>
      <c r="H69" s="4">
        <v>270</v>
      </c>
      <c r="I69" s="4">
        <v>15</v>
      </c>
      <c r="J69" s="4">
        <v>99</v>
      </c>
      <c r="K69" s="4">
        <v>305</v>
      </c>
      <c r="L69" s="4">
        <v>288</v>
      </c>
      <c r="M69" s="4">
        <v>15</v>
      </c>
      <c r="N69" s="4">
        <v>94</v>
      </c>
      <c r="O69" s="4">
        <v>621</v>
      </c>
      <c r="P69" s="4">
        <v>574</v>
      </c>
      <c r="Q69" s="4">
        <v>26</v>
      </c>
      <c r="R69" s="4">
        <v>161</v>
      </c>
      <c r="S69" s="4">
        <v>931</v>
      </c>
      <c r="T69" s="4">
        <v>955</v>
      </c>
      <c r="U69" s="4">
        <v>40</v>
      </c>
      <c r="V69" s="4">
        <v>212</v>
      </c>
    </row>
    <row r="70" spans="1:22" ht="16" x14ac:dyDescent="0.2">
      <c r="A70" s="3" t="s">
        <v>12</v>
      </c>
      <c r="B70" s="3" t="s">
        <v>83</v>
      </c>
      <c r="C70" s="4">
        <v>239</v>
      </c>
      <c r="D70" s="4">
        <v>191</v>
      </c>
      <c r="E70" s="4">
        <v>11</v>
      </c>
      <c r="F70" s="4">
        <v>80</v>
      </c>
      <c r="G70" s="4">
        <v>247</v>
      </c>
      <c r="H70" s="4">
        <v>207</v>
      </c>
      <c r="I70" s="4">
        <v>16</v>
      </c>
      <c r="J70" s="4">
        <v>90</v>
      </c>
      <c r="K70" s="4">
        <v>268</v>
      </c>
      <c r="L70" s="4">
        <v>224</v>
      </c>
      <c r="M70" s="4">
        <v>18</v>
      </c>
      <c r="N70" s="4">
        <v>103</v>
      </c>
      <c r="O70" s="4">
        <v>281</v>
      </c>
      <c r="P70" s="4">
        <v>260</v>
      </c>
      <c r="Q70" s="4">
        <v>16</v>
      </c>
      <c r="R70" s="4">
        <v>92</v>
      </c>
      <c r="S70" s="4">
        <v>280</v>
      </c>
      <c r="T70" s="4">
        <v>288</v>
      </c>
      <c r="U70" s="4">
        <v>16</v>
      </c>
      <c r="V70" s="4">
        <v>91</v>
      </c>
    </row>
    <row r="71" spans="1:22" ht="16" x14ac:dyDescent="0.2">
      <c r="A71" s="3" t="s">
        <v>12</v>
      </c>
      <c r="B71" s="3" t="s">
        <v>84</v>
      </c>
      <c r="C71" s="4">
        <v>99</v>
      </c>
      <c r="D71" s="4">
        <v>81</v>
      </c>
      <c r="E71" s="4">
        <v>6</v>
      </c>
      <c r="F71" s="4">
        <v>10</v>
      </c>
      <c r="G71" s="4">
        <v>119</v>
      </c>
      <c r="H71" s="4">
        <v>95</v>
      </c>
      <c r="I71" s="4">
        <v>6</v>
      </c>
      <c r="J71" s="4">
        <v>14</v>
      </c>
      <c r="K71" s="4">
        <v>140</v>
      </c>
      <c r="L71" s="4">
        <v>123</v>
      </c>
      <c r="M71" s="4">
        <v>6</v>
      </c>
      <c r="N71" s="4">
        <v>14</v>
      </c>
      <c r="O71" s="4">
        <v>134</v>
      </c>
      <c r="P71" s="4">
        <v>126</v>
      </c>
      <c r="Q71" s="4">
        <v>6</v>
      </c>
      <c r="R71" s="4">
        <v>16</v>
      </c>
      <c r="S71" s="4">
        <v>87</v>
      </c>
      <c r="T71" s="4">
        <v>73</v>
      </c>
      <c r="U71" s="4">
        <v>6</v>
      </c>
      <c r="V71" s="4">
        <v>16</v>
      </c>
    </row>
    <row r="72" spans="1:22" ht="16" x14ac:dyDescent="0.2">
      <c r="A72" s="3" t="s">
        <v>12</v>
      </c>
      <c r="B72" s="3" t="s">
        <v>85</v>
      </c>
      <c r="C72" s="4">
        <v>2318</v>
      </c>
      <c r="D72" s="4">
        <v>1370</v>
      </c>
      <c r="E72" s="4">
        <v>140</v>
      </c>
      <c r="F72" s="4">
        <v>559</v>
      </c>
      <c r="G72" s="4">
        <v>2335</v>
      </c>
      <c r="H72" s="4">
        <v>1353</v>
      </c>
      <c r="I72" s="4">
        <v>125</v>
      </c>
      <c r="J72" s="4">
        <v>585</v>
      </c>
      <c r="K72" s="4">
        <v>2263</v>
      </c>
      <c r="L72" s="4">
        <v>1457</v>
      </c>
      <c r="M72" s="4">
        <v>123</v>
      </c>
      <c r="N72" s="4">
        <v>567</v>
      </c>
      <c r="O72" s="4">
        <v>2250</v>
      </c>
      <c r="P72" s="4">
        <v>1479</v>
      </c>
      <c r="Q72" s="4">
        <v>141</v>
      </c>
      <c r="R72" s="4">
        <v>649</v>
      </c>
      <c r="S72" s="4">
        <v>2078</v>
      </c>
      <c r="T72" s="4">
        <v>1324</v>
      </c>
      <c r="U72" s="4">
        <v>117</v>
      </c>
      <c r="V72" s="4">
        <v>598</v>
      </c>
    </row>
    <row r="73" spans="1:22" ht="16" x14ac:dyDescent="0.2">
      <c r="A73" s="3" t="s">
        <v>12</v>
      </c>
      <c r="B73" s="3" t="s">
        <v>86</v>
      </c>
      <c r="C73" s="4">
        <v>60</v>
      </c>
      <c r="D73" s="4">
        <v>41</v>
      </c>
      <c r="E73" s="4">
        <v>10</v>
      </c>
      <c r="F73" s="4">
        <v>13</v>
      </c>
      <c r="G73" s="4">
        <v>61</v>
      </c>
      <c r="H73" s="4">
        <v>44</v>
      </c>
      <c r="I73" s="4">
        <v>11</v>
      </c>
      <c r="J73" s="4">
        <v>14</v>
      </c>
      <c r="K73" s="4">
        <v>71</v>
      </c>
      <c r="L73" s="4">
        <v>51</v>
      </c>
      <c r="M73" s="4">
        <v>9</v>
      </c>
      <c r="N73" s="4">
        <v>17</v>
      </c>
      <c r="O73" s="4">
        <v>69</v>
      </c>
      <c r="P73" s="4">
        <v>49</v>
      </c>
      <c r="Q73" s="4">
        <v>13</v>
      </c>
      <c r="R73" s="4">
        <v>17</v>
      </c>
      <c r="S73" s="4">
        <v>62</v>
      </c>
      <c r="T73" s="4">
        <v>54</v>
      </c>
      <c r="U73" s="4">
        <v>10</v>
      </c>
      <c r="V73" s="4">
        <v>19</v>
      </c>
    </row>
    <row r="74" spans="1:22" ht="16" x14ac:dyDescent="0.2">
      <c r="A74" s="3" t="s">
        <v>12</v>
      </c>
      <c r="B74" s="3" t="s">
        <v>87</v>
      </c>
      <c r="C74" s="4">
        <v>228</v>
      </c>
      <c r="D74" s="4">
        <v>169</v>
      </c>
      <c r="E74" s="4">
        <v>69</v>
      </c>
      <c r="F74" s="4">
        <v>80</v>
      </c>
      <c r="G74" s="4">
        <v>228</v>
      </c>
      <c r="H74" s="4">
        <v>169</v>
      </c>
      <c r="I74" s="4">
        <v>69</v>
      </c>
      <c r="J74" s="4">
        <v>80</v>
      </c>
      <c r="K74" s="4">
        <v>219</v>
      </c>
      <c r="L74" s="4">
        <v>193</v>
      </c>
      <c r="M74" s="4">
        <v>73</v>
      </c>
      <c r="N74" s="4">
        <v>88</v>
      </c>
      <c r="O74" s="4">
        <v>214</v>
      </c>
      <c r="P74" s="4">
        <v>198</v>
      </c>
      <c r="Q74" s="4">
        <v>85</v>
      </c>
      <c r="R74" s="4">
        <v>123</v>
      </c>
      <c r="S74" s="4">
        <v>219</v>
      </c>
      <c r="T74" s="4">
        <v>222</v>
      </c>
      <c r="U74" s="4">
        <v>80</v>
      </c>
      <c r="V74" s="4">
        <v>120</v>
      </c>
    </row>
    <row r="75" spans="1:22" ht="16" x14ac:dyDescent="0.2">
      <c r="A75" s="3" t="s">
        <v>12</v>
      </c>
      <c r="B75" s="3" t="s">
        <v>88</v>
      </c>
      <c r="C75" s="4">
        <v>1977</v>
      </c>
      <c r="D75" s="4">
        <v>714</v>
      </c>
      <c r="E75" s="4">
        <v>19</v>
      </c>
      <c r="F75" s="4">
        <v>140</v>
      </c>
      <c r="G75" s="4">
        <v>1977</v>
      </c>
      <c r="H75" s="4">
        <v>714</v>
      </c>
      <c r="I75" s="4">
        <v>19</v>
      </c>
      <c r="J75" s="4">
        <v>140</v>
      </c>
      <c r="K75" s="4">
        <v>1957</v>
      </c>
      <c r="L75" s="4">
        <v>747</v>
      </c>
      <c r="M75" s="4">
        <v>21</v>
      </c>
      <c r="N75" s="4">
        <v>140</v>
      </c>
      <c r="O75" s="4">
        <v>1872</v>
      </c>
      <c r="P75" s="4">
        <v>777</v>
      </c>
      <c r="Q75" s="4">
        <v>16</v>
      </c>
      <c r="R75" s="4">
        <v>135</v>
      </c>
      <c r="S75" s="4">
        <v>1855</v>
      </c>
      <c r="T75" s="4">
        <v>792</v>
      </c>
      <c r="U75" s="4">
        <v>15</v>
      </c>
      <c r="V75" s="4">
        <v>136</v>
      </c>
    </row>
    <row r="76" spans="1:22" ht="16" x14ac:dyDescent="0.2">
      <c r="A76" s="3" t="s">
        <v>13</v>
      </c>
      <c r="B76" s="3" t="s">
        <v>89</v>
      </c>
      <c r="C76" s="4">
        <v>17</v>
      </c>
      <c r="D76" s="4">
        <v>14</v>
      </c>
      <c r="E76" s="4">
        <v>5</v>
      </c>
      <c r="F76" s="4">
        <v>6</v>
      </c>
      <c r="G76" s="4">
        <v>19</v>
      </c>
      <c r="H76" s="4">
        <v>15</v>
      </c>
      <c r="I76" s="4">
        <v>5</v>
      </c>
      <c r="J76" s="4">
        <v>6</v>
      </c>
      <c r="K76" s="4">
        <v>24</v>
      </c>
      <c r="L76" s="4">
        <v>15</v>
      </c>
      <c r="M76" s="4">
        <v>6</v>
      </c>
      <c r="N76" s="4">
        <v>6</v>
      </c>
      <c r="O76" s="4">
        <v>30</v>
      </c>
      <c r="P76" s="4">
        <v>29</v>
      </c>
      <c r="Q76" s="4">
        <v>6</v>
      </c>
      <c r="R76" s="4">
        <v>6</v>
      </c>
      <c r="S76" s="4">
        <v>28</v>
      </c>
      <c r="T76" s="4">
        <v>30</v>
      </c>
      <c r="U76" s="4">
        <v>6</v>
      </c>
      <c r="V76" s="4">
        <v>6</v>
      </c>
    </row>
    <row r="77" spans="1:22" ht="16" x14ac:dyDescent="0.2">
      <c r="A77" s="3" t="s">
        <v>13</v>
      </c>
      <c r="B77" s="3" t="s">
        <v>90</v>
      </c>
      <c r="C77" s="4">
        <v>185</v>
      </c>
      <c r="D77" s="4">
        <v>261</v>
      </c>
      <c r="E77" s="4">
        <v>6</v>
      </c>
      <c r="F77" s="4">
        <v>64</v>
      </c>
      <c r="G77" s="4">
        <v>186</v>
      </c>
      <c r="H77" s="4">
        <v>271</v>
      </c>
      <c r="I77" s="4">
        <v>6</v>
      </c>
      <c r="J77" s="4">
        <v>59</v>
      </c>
      <c r="K77" s="4">
        <v>218</v>
      </c>
      <c r="L77" s="4">
        <v>354</v>
      </c>
      <c r="M77" s="4">
        <v>6</v>
      </c>
      <c r="N77" s="4">
        <v>70</v>
      </c>
      <c r="O77" s="4">
        <v>257</v>
      </c>
      <c r="P77" s="4">
        <v>366</v>
      </c>
      <c r="Q77" s="4">
        <v>8</v>
      </c>
      <c r="R77" s="4">
        <v>80</v>
      </c>
      <c r="S77" s="4">
        <v>257</v>
      </c>
      <c r="T77" s="4">
        <v>407</v>
      </c>
      <c r="U77" s="4">
        <v>7</v>
      </c>
      <c r="V77" s="4">
        <v>87</v>
      </c>
    </row>
    <row r="78" spans="1:22" ht="16" x14ac:dyDescent="0.2">
      <c r="A78" s="3" t="s">
        <v>13</v>
      </c>
      <c r="B78" s="3" t="s">
        <v>91</v>
      </c>
      <c r="C78" s="4">
        <v>37</v>
      </c>
      <c r="D78" s="4">
        <v>85</v>
      </c>
      <c r="E78" s="4">
        <v>5</v>
      </c>
      <c r="F78" s="4">
        <v>15</v>
      </c>
      <c r="G78" s="4">
        <v>37</v>
      </c>
      <c r="H78" s="4">
        <v>85</v>
      </c>
      <c r="I78" s="4">
        <v>5</v>
      </c>
      <c r="J78" s="4">
        <v>15</v>
      </c>
      <c r="K78" s="4">
        <v>27</v>
      </c>
      <c r="L78" s="4">
        <v>109</v>
      </c>
      <c r="M78" s="4">
        <v>5</v>
      </c>
      <c r="N78" s="4">
        <v>13</v>
      </c>
      <c r="O78" s="4">
        <v>21</v>
      </c>
      <c r="P78" s="4">
        <v>108</v>
      </c>
      <c r="Q78" s="4">
        <v>5</v>
      </c>
      <c r="R78" s="4">
        <v>18</v>
      </c>
      <c r="S78" s="4">
        <v>24</v>
      </c>
      <c r="T78" s="4">
        <v>116</v>
      </c>
      <c r="U78" s="4">
        <v>5</v>
      </c>
      <c r="V78" s="4">
        <v>18</v>
      </c>
    </row>
    <row r="79" spans="1:22" ht="16" x14ac:dyDescent="0.2">
      <c r="A79" s="3" t="s">
        <v>13</v>
      </c>
      <c r="B79" s="3" t="s">
        <v>92</v>
      </c>
      <c r="C79" s="4">
        <v>54</v>
      </c>
      <c r="D79" s="4">
        <v>58</v>
      </c>
      <c r="E79" s="4">
        <v>6</v>
      </c>
      <c r="F79" s="4">
        <v>30</v>
      </c>
      <c r="G79" s="4">
        <v>60</v>
      </c>
      <c r="H79" s="4">
        <v>51</v>
      </c>
      <c r="I79" s="4">
        <v>6</v>
      </c>
      <c r="J79" s="4">
        <v>28</v>
      </c>
      <c r="K79" s="4">
        <v>74</v>
      </c>
      <c r="L79" s="4">
        <v>60</v>
      </c>
      <c r="M79" s="4">
        <v>7</v>
      </c>
      <c r="N79" s="4">
        <v>27</v>
      </c>
      <c r="O79" s="4">
        <v>71</v>
      </c>
      <c r="P79" s="4">
        <v>54</v>
      </c>
      <c r="Q79" s="4">
        <v>6</v>
      </c>
      <c r="R79" s="4">
        <v>27</v>
      </c>
      <c r="S79" s="4">
        <v>65</v>
      </c>
      <c r="T79" s="4">
        <v>55</v>
      </c>
      <c r="U79" s="4">
        <v>6</v>
      </c>
      <c r="V79" s="4">
        <v>22</v>
      </c>
    </row>
    <row r="80" spans="1:22" ht="16" x14ac:dyDescent="0.2">
      <c r="A80" s="3" t="s">
        <v>13</v>
      </c>
      <c r="B80" s="3" t="s">
        <v>93</v>
      </c>
      <c r="C80" s="4">
        <v>23</v>
      </c>
      <c r="D80" s="4">
        <v>18</v>
      </c>
      <c r="E80" s="4">
        <v>10</v>
      </c>
      <c r="F80" s="4">
        <v>10</v>
      </c>
      <c r="G80" s="4">
        <v>19</v>
      </c>
      <c r="H80" s="4">
        <v>18</v>
      </c>
      <c r="I80" s="4">
        <v>10</v>
      </c>
      <c r="J80" s="4">
        <v>10</v>
      </c>
      <c r="K80" s="4">
        <v>25</v>
      </c>
      <c r="L80" s="4">
        <v>25</v>
      </c>
      <c r="M80" s="4">
        <v>10</v>
      </c>
      <c r="N80" s="4">
        <v>10</v>
      </c>
      <c r="O80" s="4">
        <v>25</v>
      </c>
      <c r="P80" s="4">
        <v>35</v>
      </c>
      <c r="Q80" s="4">
        <v>10</v>
      </c>
      <c r="R80" s="4">
        <v>10</v>
      </c>
      <c r="S80" s="4">
        <v>27</v>
      </c>
      <c r="T80" s="4">
        <v>42</v>
      </c>
      <c r="U80" s="4">
        <v>10</v>
      </c>
      <c r="V80" s="4">
        <v>10</v>
      </c>
    </row>
    <row r="81" spans="1:22" ht="16" x14ac:dyDescent="0.2">
      <c r="A81" s="3" t="s">
        <v>13</v>
      </c>
      <c r="B81" s="3" t="s">
        <v>94</v>
      </c>
      <c r="C81" s="4">
        <v>6</v>
      </c>
      <c r="D81" s="4">
        <v>14</v>
      </c>
      <c r="E81" s="4">
        <v>6</v>
      </c>
      <c r="F81" s="4">
        <v>6</v>
      </c>
      <c r="G81" s="4">
        <v>8</v>
      </c>
      <c r="H81" s="4">
        <v>9</v>
      </c>
      <c r="I81" s="4">
        <v>6</v>
      </c>
      <c r="J81" s="4">
        <v>6</v>
      </c>
      <c r="K81" s="4">
        <v>9</v>
      </c>
      <c r="L81" s="4">
        <v>9</v>
      </c>
      <c r="M81" s="4">
        <v>6</v>
      </c>
      <c r="N81" s="4">
        <v>6</v>
      </c>
      <c r="O81" s="4">
        <v>9</v>
      </c>
      <c r="P81" s="4">
        <v>7</v>
      </c>
      <c r="Q81" s="4">
        <v>5</v>
      </c>
      <c r="R81" s="4">
        <v>6</v>
      </c>
      <c r="S81" s="4">
        <v>8</v>
      </c>
      <c r="T81" s="4">
        <v>10</v>
      </c>
      <c r="U81" s="4">
        <v>6</v>
      </c>
      <c r="V81" s="4">
        <v>5</v>
      </c>
    </row>
    <row r="82" spans="1:22" ht="16" x14ac:dyDescent="0.2">
      <c r="A82" s="3" t="s">
        <v>13</v>
      </c>
      <c r="B82" s="3" t="s">
        <v>95</v>
      </c>
      <c r="C82" s="4">
        <v>30</v>
      </c>
      <c r="D82" s="4">
        <v>32</v>
      </c>
      <c r="E82" s="4">
        <v>5</v>
      </c>
      <c r="F82" s="4">
        <v>6</v>
      </c>
      <c r="G82" s="4">
        <v>37</v>
      </c>
      <c r="H82" s="4">
        <v>35</v>
      </c>
      <c r="I82" s="4">
        <v>5</v>
      </c>
      <c r="J82" s="4">
        <v>6</v>
      </c>
      <c r="K82" s="4">
        <v>40</v>
      </c>
      <c r="L82" s="4">
        <v>43</v>
      </c>
      <c r="M82" s="4">
        <v>5</v>
      </c>
      <c r="N82" s="4">
        <v>7</v>
      </c>
      <c r="O82" s="4">
        <v>50</v>
      </c>
      <c r="P82" s="4">
        <v>51</v>
      </c>
      <c r="Q82" s="4">
        <v>5</v>
      </c>
      <c r="R82" s="4">
        <v>6</v>
      </c>
      <c r="S82" s="4">
        <v>73</v>
      </c>
      <c r="T82" s="4">
        <v>83</v>
      </c>
      <c r="U82" s="4">
        <v>5</v>
      </c>
      <c r="V82" s="4">
        <v>5</v>
      </c>
    </row>
    <row r="83" spans="1:22" ht="16" x14ac:dyDescent="0.2">
      <c r="A83" s="3" t="s">
        <v>13</v>
      </c>
      <c r="B83" s="3" t="s">
        <v>96</v>
      </c>
      <c r="C83" s="4">
        <v>325</v>
      </c>
      <c r="D83" s="4">
        <v>267</v>
      </c>
      <c r="E83" s="4">
        <v>6</v>
      </c>
      <c r="F83" s="4">
        <v>26</v>
      </c>
      <c r="G83" s="4">
        <v>325</v>
      </c>
      <c r="H83" s="4">
        <v>267</v>
      </c>
      <c r="I83" s="4">
        <v>6</v>
      </c>
      <c r="J83" s="4">
        <v>26</v>
      </c>
      <c r="K83" s="4">
        <v>363</v>
      </c>
      <c r="L83" s="4">
        <v>270</v>
      </c>
      <c r="M83" s="4">
        <v>14</v>
      </c>
      <c r="N83" s="4">
        <v>76</v>
      </c>
      <c r="O83" s="4">
        <v>435</v>
      </c>
      <c r="P83" s="4">
        <v>341</v>
      </c>
      <c r="Q83" s="4">
        <v>7</v>
      </c>
      <c r="R83" s="4">
        <v>58</v>
      </c>
      <c r="S83" s="4">
        <v>469</v>
      </c>
      <c r="T83" s="4">
        <v>391</v>
      </c>
      <c r="U83" s="4">
        <v>9</v>
      </c>
      <c r="V83" s="4">
        <v>64</v>
      </c>
    </row>
    <row r="84" spans="1:22" ht="16" x14ac:dyDescent="0.2">
      <c r="A84" s="3" t="s">
        <v>13</v>
      </c>
      <c r="B84" s="3" t="s">
        <v>97</v>
      </c>
      <c r="C84" s="4">
        <v>63</v>
      </c>
      <c r="D84" s="4">
        <v>129</v>
      </c>
      <c r="E84" s="4">
        <v>6</v>
      </c>
      <c r="F84" s="4">
        <v>38</v>
      </c>
      <c r="G84" s="4">
        <v>62</v>
      </c>
      <c r="H84" s="4">
        <v>131</v>
      </c>
      <c r="I84" s="4">
        <v>6</v>
      </c>
      <c r="J84" s="4">
        <v>46</v>
      </c>
      <c r="K84" s="4">
        <v>59</v>
      </c>
      <c r="L84" s="4">
        <v>156</v>
      </c>
      <c r="M84" s="4">
        <v>10</v>
      </c>
      <c r="N84" s="4">
        <v>37</v>
      </c>
      <c r="O84" s="4">
        <v>57</v>
      </c>
      <c r="P84" s="4">
        <v>118</v>
      </c>
      <c r="Q84" s="4">
        <v>6</v>
      </c>
      <c r="R84" s="4">
        <v>50</v>
      </c>
      <c r="S84" s="4">
        <v>53</v>
      </c>
      <c r="T84" s="4">
        <v>137</v>
      </c>
      <c r="U84" s="4">
        <v>6</v>
      </c>
      <c r="V84" s="4">
        <v>47</v>
      </c>
    </row>
    <row r="85" spans="1:22" ht="16" x14ac:dyDescent="0.2">
      <c r="A85" s="3" t="s">
        <v>13</v>
      </c>
      <c r="B85" s="3" t="s">
        <v>98</v>
      </c>
      <c r="C85" s="4">
        <v>21</v>
      </c>
      <c r="D85" s="4">
        <v>27</v>
      </c>
      <c r="E85" s="4">
        <v>6</v>
      </c>
      <c r="F85" s="4">
        <v>9</v>
      </c>
      <c r="G85" s="4">
        <v>19</v>
      </c>
      <c r="H85" s="4">
        <v>29</v>
      </c>
      <c r="I85" s="4">
        <v>6</v>
      </c>
      <c r="J85" s="4">
        <v>10</v>
      </c>
      <c r="K85" s="4">
        <v>16</v>
      </c>
      <c r="L85" s="4">
        <v>30</v>
      </c>
      <c r="M85" s="4">
        <v>5</v>
      </c>
      <c r="N85" s="4">
        <v>10</v>
      </c>
      <c r="O85" s="4">
        <v>17</v>
      </c>
      <c r="P85" s="4">
        <v>28</v>
      </c>
      <c r="Q85" s="4">
        <v>5</v>
      </c>
      <c r="R85" s="4">
        <v>10</v>
      </c>
      <c r="S85" s="4">
        <v>15</v>
      </c>
      <c r="T85" s="4">
        <v>30</v>
      </c>
      <c r="U85" s="4">
        <v>5</v>
      </c>
      <c r="V85" s="4">
        <v>10</v>
      </c>
    </row>
    <row r="86" spans="1:22" ht="16" x14ac:dyDescent="0.2">
      <c r="A86" s="3" t="s">
        <v>13</v>
      </c>
      <c r="B86" s="3" t="s">
        <v>99</v>
      </c>
      <c r="C86" s="4">
        <v>40</v>
      </c>
      <c r="D86" s="4">
        <v>71</v>
      </c>
      <c r="E86" s="4">
        <v>6</v>
      </c>
      <c r="F86" s="4">
        <v>9</v>
      </c>
      <c r="G86" s="4">
        <v>39</v>
      </c>
      <c r="H86" s="4">
        <v>65</v>
      </c>
      <c r="I86" s="4">
        <v>6</v>
      </c>
      <c r="J86" s="4">
        <v>18</v>
      </c>
      <c r="K86" s="4">
        <v>38</v>
      </c>
      <c r="L86" s="4">
        <v>86</v>
      </c>
      <c r="M86" s="4">
        <v>6</v>
      </c>
      <c r="N86" s="4">
        <v>18</v>
      </c>
      <c r="O86" s="4">
        <v>38</v>
      </c>
      <c r="P86" s="4">
        <v>84</v>
      </c>
      <c r="Q86" s="4">
        <v>6</v>
      </c>
      <c r="R86" s="4">
        <v>17</v>
      </c>
      <c r="S86" s="4">
        <v>42</v>
      </c>
      <c r="T86" s="4">
        <v>85</v>
      </c>
      <c r="U86" s="4">
        <v>6</v>
      </c>
      <c r="V86" s="4">
        <v>18</v>
      </c>
    </row>
    <row r="87" spans="1:22" ht="16" x14ac:dyDescent="0.2">
      <c r="A87" s="3" t="s">
        <v>14</v>
      </c>
      <c r="B87" s="3" t="s">
        <v>100</v>
      </c>
      <c r="C87" s="4">
        <v>1593</v>
      </c>
      <c r="D87" s="4">
        <v>413</v>
      </c>
      <c r="E87" s="4">
        <v>52</v>
      </c>
      <c r="F87" s="4">
        <v>101</v>
      </c>
      <c r="G87" s="4">
        <v>1669</v>
      </c>
      <c r="H87" s="4">
        <v>439</v>
      </c>
      <c r="I87" s="4">
        <v>51</v>
      </c>
      <c r="J87" s="4">
        <v>107</v>
      </c>
      <c r="K87" s="4">
        <v>1703</v>
      </c>
      <c r="L87" s="4">
        <v>438</v>
      </c>
      <c r="M87" s="4">
        <v>57</v>
      </c>
      <c r="N87" s="4">
        <v>116</v>
      </c>
      <c r="O87" s="4">
        <v>1700</v>
      </c>
      <c r="P87" s="4">
        <v>464</v>
      </c>
      <c r="Q87" s="4">
        <v>55</v>
      </c>
      <c r="R87" s="4">
        <v>132</v>
      </c>
      <c r="S87" s="4">
        <v>1669</v>
      </c>
      <c r="T87" s="4">
        <v>472</v>
      </c>
      <c r="U87" s="4">
        <v>44</v>
      </c>
      <c r="V87" s="4">
        <v>108</v>
      </c>
    </row>
    <row r="88" spans="1:22" ht="16" x14ac:dyDescent="0.2">
      <c r="A88" s="3" t="s">
        <v>14</v>
      </c>
      <c r="B88" s="3" t="s">
        <v>101</v>
      </c>
      <c r="C88" s="4">
        <v>260</v>
      </c>
      <c r="D88" s="4">
        <v>44</v>
      </c>
      <c r="E88" s="4">
        <v>6</v>
      </c>
      <c r="F88" s="4">
        <v>17</v>
      </c>
      <c r="G88" s="4">
        <v>284</v>
      </c>
      <c r="H88" s="4">
        <v>50</v>
      </c>
      <c r="I88" s="4">
        <v>6</v>
      </c>
      <c r="J88" s="4">
        <v>20</v>
      </c>
      <c r="K88" s="4">
        <v>290</v>
      </c>
      <c r="L88" s="4">
        <v>53</v>
      </c>
      <c r="M88" s="4">
        <v>6</v>
      </c>
      <c r="N88" s="4">
        <v>26</v>
      </c>
      <c r="O88" s="4">
        <v>273</v>
      </c>
      <c r="P88" s="4">
        <v>58</v>
      </c>
      <c r="Q88" s="4">
        <v>11</v>
      </c>
      <c r="R88" s="4">
        <v>25</v>
      </c>
      <c r="S88" s="4">
        <v>288</v>
      </c>
      <c r="T88" s="4">
        <v>57</v>
      </c>
      <c r="U88" s="4">
        <v>7</v>
      </c>
      <c r="V88" s="4">
        <v>21</v>
      </c>
    </row>
    <row r="89" spans="1:22" ht="16" x14ac:dyDescent="0.2">
      <c r="A89" s="3" t="s">
        <v>14</v>
      </c>
      <c r="B89" s="3" t="s">
        <v>102</v>
      </c>
      <c r="C89" s="4">
        <v>4586</v>
      </c>
      <c r="D89" s="4">
        <v>1446</v>
      </c>
      <c r="E89" s="4">
        <v>615</v>
      </c>
      <c r="F89" s="4">
        <v>1253</v>
      </c>
      <c r="G89" s="4">
        <v>4385</v>
      </c>
      <c r="H89" s="4">
        <v>1439</v>
      </c>
      <c r="I89" s="4">
        <v>472</v>
      </c>
      <c r="J89" s="4">
        <v>983</v>
      </c>
      <c r="K89" s="4">
        <v>4228</v>
      </c>
      <c r="L89" s="4">
        <v>1312</v>
      </c>
      <c r="M89" s="4">
        <v>528</v>
      </c>
      <c r="N89" s="4">
        <v>833</v>
      </c>
      <c r="O89" s="4">
        <v>4114</v>
      </c>
      <c r="P89" s="4">
        <v>1262</v>
      </c>
      <c r="Q89" s="4">
        <v>500</v>
      </c>
      <c r="R89" s="4">
        <v>783</v>
      </c>
      <c r="S89" s="4">
        <v>4157</v>
      </c>
      <c r="T89" s="4">
        <v>1341</v>
      </c>
      <c r="U89" s="4">
        <v>516</v>
      </c>
      <c r="V89" s="4">
        <v>723</v>
      </c>
    </row>
    <row r="90" spans="1:22" ht="16" x14ac:dyDescent="0.2">
      <c r="A90" s="3" t="s">
        <v>14</v>
      </c>
      <c r="B90" s="3" t="s">
        <v>103</v>
      </c>
      <c r="C90" s="4">
        <v>4447</v>
      </c>
      <c r="D90" s="4">
        <v>362</v>
      </c>
      <c r="E90" s="4">
        <v>392</v>
      </c>
      <c r="F90" s="4">
        <v>80</v>
      </c>
      <c r="G90" s="4">
        <v>4358</v>
      </c>
      <c r="H90" s="4">
        <v>340</v>
      </c>
      <c r="I90" s="4">
        <v>415</v>
      </c>
      <c r="J90" s="4">
        <v>73</v>
      </c>
      <c r="K90" s="4">
        <v>4451</v>
      </c>
      <c r="L90" s="4">
        <v>332</v>
      </c>
      <c r="M90" s="4">
        <v>459</v>
      </c>
      <c r="N90" s="4">
        <v>70</v>
      </c>
      <c r="O90" s="4">
        <v>4465</v>
      </c>
      <c r="P90" s="4">
        <v>307</v>
      </c>
      <c r="Q90" s="4">
        <v>526</v>
      </c>
      <c r="R90" s="4">
        <v>79</v>
      </c>
      <c r="S90" s="4">
        <v>4240</v>
      </c>
      <c r="T90" s="4">
        <v>262</v>
      </c>
      <c r="U90" s="4">
        <v>498</v>
      </c>
      <c r="V90" s="4">
        <v>57</v>
      </c>
    </row>
    <row r="91" spans="1:22" ht="16" x14ac:dyDescent="0.2">
      <c r="A91" s="3" t="s">
        <v>14</v>
      </c>
      <c r="B91" s="3" t="s">
        <v>104</v>
      </c>
      <c r="C91" s="4">
        <v>8920</v>
      </c>
      <c r="D91" s="4">
        <v>1595</v>
      </c>
      <c r="E91" s="4">
        <v>117</v>
      </c>
      <c r="F91" s="4">
        <v>160</v>
      </c>
      <c r="G91" s="4">
        <v>9122</v>
      </c>
      <c r="H91" s="4">
        <v>1822</v>
      </c>
      <c r="I91" s="4">
        <v>187</v>
      </c>
      <c r="J91" s="4">
        <v>205</v>
      </c>
      <c r="K91" s="4">
        <v>8827</v>
      </c>
      <c r="L91" s="4">
        <v>1726</v>
      </c>
      <c r="M91" s="4">
        <v>207</v>
      </c>
      <c r="N91" s="4">
        <v>201</v>
      </c>
      <c r="O91" s="4">
        <v>8301</v>
      </c>
      <c r="P91" s="4">
        <v>1743</v>
      </c>
      <c r="Q91" s="4">
        <v>699</v>
      </c>
      <c r="R91" s="4">
        <v>206</v>
      </c>
      <c r="S91" s="4">
        <v>7845</v>
      </c>
      <c r="T91" s="4">
        <v>1922</v>
      </c>
      <c r="U91" s="4">
        <v>1354</v>
      </c>
      <c r="V91" s="4">
        <v>216</v>
      </c>
    </row>
    <row r="92" spans="1:22" ht="16" x14ac:dyDescent="0.2">
      <c r="A92" s="3" t="s">
        <v>14</v>
      </c>
      <c r="B92" s="3" t="s">
        <v>105</v>
      </c>
      <c r="C92" s="4">
        <v>1823</v>
      </c>
      <c r="D92" s="4">
        <v>1318</v>
      </c>
      <c r="E92" s="4">
        <v>16</v>
      </c>
      <c r="F92" s="4">
        <v>143</v>
      </c>
      <c r="G92" s="4">
        <v>2026</v>
      </c>
      <c r="H92" s="4">
        <v>1477</v>
      </c>
      <c r="I92" s="4">
        <v>14</v>
      </c>
      <c r="J92" s="4">
        <v>160</v>
      </c>
      <c r="K92" s="4">
        <v>1972</v>
      </c>
      <c r="L92" s="4">
        <v>1512</v>
      </c>
      <c r="M92" s="4">
        <v>18</v>
      </c>
      <c r="N92" s="4">
        <v>190</v>
      </c>
      <c r="O92" s="4">
        <v>2010</v>
      </c>
      <c r="P92" s="4">
        <v>1873</v>
      </c>
      <c r="Q92" s="4">
        <v>338</v>
      </c>
      <c r="R92" s="4">
        <v>205</v>
      </c>
      <c r="S92" s="4">
        <v>1945</v>
      </c>
      <c r="T92" s="4">
        <v>1983</v>
      </c>
      <c r="U92" s="4">
        <v>579</v>
      </c>
      <c r="V92" s="4">
        <v>220</v>
      </c>
    </row>
    <row r="93" spans="1:22" ht="16" x14ac:dyDescent="0.2">
      <c r="A93" s="3" t="s">
        <v>15</v>
      </c>
      <c r="B93" s="3" t="s">
        <v>106</v>
      </c>
      <c r="C93" s="4">
        <v>175</v>
      </c>
      <c r="D93" s="4">
        <v>311</v>
      </c>
      <c r="E93" s="4">
        <v>6</v>
      </c>
      <c r="F93" s="4">
        <v>49</v>
      </c>
      <c r="G93" s="4">
        <v>175</v>
      </c>
      <c r="H93" s="4">
        <v>311</v>
      </c>
      <c r="I93" s="4">
        <v>6</v>
      </c>
      <c r="J93" s="4">
        <v>49</v>
      </c>
      <c r="K93" s="4">
        <v>175</v>
      </c>
      <c r="L93" s="4">
        <v>311</v>
      </c>
      <c r="M93" s="4">
        <v>6</v>
      </c>
      <c r="N93" s="4">
        <v>49</v>
      </c>
      <c r="O93" s="4">
        <v>244</v>
      </c>
      <c r="P93" s="4">
        <v>412</v>
      </c>
      <c r="Q93" s="4">
        <v>6</v>
      </c>
      <c r="R93" s="4">
        <v>69</v>
      </c>
      <c r="S93" s="4">
        <v>288</v>
      </c>
      <c r="T93" s="4">
        <v>492</v>
      </c>
      <c r="U93" s="4">
        <v>6</v>
      </c>
      <c r="V93" s="4">
        <v>75</v>
      </c>
    </row>
    <row r="94" spans="1:22" ht="16" x14ac:dyDescent="0.2">
      <c r="A94" s="3" t="s">
        <v>15</v>
      </c>
      <c r="B94" s="3" t="s">
        <v>107</v>
      </c>
      <c r="C94" s="4">
        <v>272</v>
      </c>
      <c r="D94" s="4">
        <v>578</v>
      </c>
      <c r="E94" s="4">
        <v>5</v>
      </c>
      <c r="F94" s="4">
        <v>5</v>
      </c>
      <c r="G94" s="4">
        <v>295</v>
      </c>
      <c r="H94" s="4">
        <v>400</v>
      </c>
      <c r="I94" s="4">
        <v>14</v>
      </c>
      <c r="J94" s="4">
        <v>182</v>
      </c>
      <c r="K94" s="4">
        <v>263</v>
      </c>
      <c r="L94" s="4">
        <v>378</v>
      </c>
      <c r="M94" s="4">
        <v>10</v>
      </c>
      <c r="N94" s="4">
        <v>169</v>
      </c>
      <c r="O94" s="4">
        <v>19</v>
      </c>
      <c r="P94" s="4">
        <v>15</v>
      </c>
      <c r="Q94" s="4">
        <v>5</v>
      </c>
      <c r="R94" s="4">
        <v>6</v>
      </c>
      <c r="S94" s="4">
        <v>18</v>
      </c>
      <c r="T94" s="4">
        <v>21</v>
      </c>
      <c r="U94" s="4">
        <v>6</v>
      </c>
      <c r="V94" s="4">
        <v>6</v>
      </c>
    </row>
    <row r="95" spans="1:22" ht="16" x14ac:dyDescent="0.2">
      <c r="A95" s="3" t="s">
        <v>15</v>
      </c>
      <c r="B95" s="3" t="s">
        <v>108</v>
      </c>
      <c r="C95" s="4">
        <v>249</v>
      </c>
      <c r="D95" s="4">
        <v>258</v>
      </c>
      <c r="E95" s="4">
        <v>6</v>
      </c>
      <c r="F95" s="4">
        <v>41</v>
      </c>
      <c r="G95" s="4">
        <v>255</v>
      </c>
      <c r="H95" s="4">
        <v>289</v>
      </c>
      <c r="I95" s="4">
        <v>6</v>
      </c>
      <c r="J95" s="4">
        <v>44</v>
      </c>
      <c r="K95" s="4">
        <v>256</v>
      </c>
      <c r="L95" s="4">
        <v>251</v>
      </c>
      <c r="M95" s="4">
        <v>6</v>
      </c>
      <c r="N95" s="4">
        <v>43</v>
      </c>
      <c r="O95" s="4">
        <v>270</v>
      </c>
      <c r="P95" s="4">
        <v>284</v>
      </c>
      <c r="Q95" s="4">
        <v>6</v>
      </c>
      <c r="R95" s="4">
        <v>42</v>
      </c>
      <c r="S95" s="4">
        <v>278</v>
      </c>
      <c r="T95" s="4">
        <v>274</v>
      </c>
      <c r="U95" s="4">
        <v>6</v>
      </c>
      <c r="V95" s="4">
        <v>49</v>
      </c>
    </row>
    <row r="96" spans="1:22" ht="16" x14ac:dyDescent="0.2">
      <c r="A96" s="9"/>
      <c r="B96" s="10" t="s">
        <v>109</v>
      </c>
      <c r="C96" s="11">
        <f>SUM(C4:C95)</f>
        <v>123614</v>
      </c>
      <c r="D96" s="11">
        <f t="shared" ref="D96:V96" si="0">SUM(D4:D95)</f>
        <v>156793</v>
      </c>
      <c r="E96" s="11">
        <f t="shared" si="0"/>
        <v>13995</v>
      </c>
      <c r="F96" s="11">
        <f t="shared" si="0"/>
        <v>87983</v>
      </c>
      <c r="G96" s="11">
        <f t="shared" si="0"/>
        <v>118504</v>
      </c>
      <c r="H96" s="11">
        <f t="shared" si="0"/>
        <v>152038</v>
      </c>
      <c r="I96" s="11">
        <f t="shared" si="0"/>
        <v>14302</v>
      </c>
      <c r="J96" s="11">
        <f t="shared" si="0"/>
        <v>89943</v>
      </c>
      <c r="K96" s="11">
        <f t="shared" si="0"/>
        <v>117976</v>
      </c>
      <c r="L96" s="11">
        <f t="shared" si="0"/>
        <v>154489</v>
      </c>
      <c r="M96" s="11">
        <f t="shared" si="0"/>
        <v>14678</v>
      </c>
      <c r="N96" s="11">
        <f t="shared" si="0"/>
        <v>88264</v>
      </c>
      <c r="O96" s="11">
        <f t="shared" si="0"/>
        <v>114962</v>
      </c>
      <c r="P96" s="11">
        <f t="shared" si="0"/>
        <v>155408</v>
      </c>
      <c r="Q96" s="11">
        <f t="shared" si="0"/>
        <v>18706</v>
      </c>
      <c r="R96" s="11">
        <f t="shared" si="0"/>
        <v>90721</v>
      </c>
      <c r="S96" s="11">
        <f t="shared" si="0"/>
        <v>111377</v>
      </c>
      <c r="T96" s="11">
        <f t="shared" si="0"/>
        <v>155833</v>
      </c>
      <c r="U96" s="11">
        <f>SUM(U4:U95)</f>
        <v>22034</v>
      </c>
      <c r="V96" s="11">
        <f t="shared" si="0"/>
        <v>90216</v>
      </c>
    </row>
    <row r="97" spans="1:22" ht="17" thickBot="1" x14ac:dyDescent="0.25">
      <c r="A97" s="9"/>
      <c r="B97" s="9"/>
      <c r="C97" s="12"/>
      <c r="D97" s="13">
        <f>SUM(C96:D96)</f>
        <v>280407</v>
      </c>
      <c r="E97" s="14"/>
      <c r="F97" s="13">
        <f>SUM(E96:F96)</f>
        <v>101978</v>
      </c>
      <c r="G97" s="14"/>
      <c r="H97" s="13">
        <f>SUM(G96:H96)</f>
        <v>270542</v>
      </c>
      <c r="I97" s="14"/>
      <c r="J97" s="13">
        <f>SUM(I96:J96)</f>
        <v>104245</v>
      </c>
      <c r="K97" s="14"/>
      <c r="L97" s="13">
        <f>SUM(K96:L96)</f>
        <v>272465</v>
      </c>
      <c r="M97" s="14"/>
      <c r="N97" s="13">
        <f>SUM(M96:N96)</f>
        <v>102942</v>
      </c>
      <c r="O97" s="14"/>
      <c r="P97" s="13">
        <f>SUM(O96:P96)</f>
        <v>270370</v>
      </c>
      <c r="Q97" s="14"/>
      <c r="R97" s="13">
        <f>SUM(Q96:R96)</f>
        <v>109427</v>
      </c>
      <c r="S97" s="14"/>
      <c r="T97" s="13">
        <f>SUM(S96:T96)</f>
        <v>267210</v>
      </c>
      <c r="U97" s="14"/>
      <c r="V97" s="13">
        <f>SUM(U96:V96)</f>
        <v>112250</v>
      </c>
    </row>
    <row r="98" spans="1:22" ht="17" thickTop="1" x14ac:dyDescent="0.2">
      <c r="A98" s="9"/>
      <c r="B98" s="9"/>
      <c r="C98" s="9"/>
      <c r="D98" s="9"/>
      <c r="E98" s="9"/>
      <c r="F98" s="11">
        <f>SUM(C96:F96)</f>
        <v>382385</v>
      </c>
      <c r="G98" s="15"/>
      <c r="H98" s="15"/>
      <c r="I98" s="15"/>
      <c r="J98" s="11">
        <f>SUM(G96:J96)</f>
        <v>374787</v>
      </c>
      <c r="K98" s="15"/>
      <c r="L98" s="15"/>
      <c r="M98" s="15"/>
      <c r="N98" s="11">
        <f>SUM(K96:N96)</f>
        <v>375407</v>
      </c>
      <c r="O98" s="15"/>
      <c r="P98" s="15"/>
      <c r="Q98" s="15"/>
      <c r="R98" s="11">
        <f>SUM(O96:R96)</f>
        <v>379797</v>
      </c>
      <c r="S98" s="15"/>
      <c r="T98" s="15"/>
      <c r="U98" s="15"/>
      <c r="V98" s="11">
        <f>SUM(S96:V96)</f>
        <v>379460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5593-36A9-428F-A9D4-549F7AAD6042}">
  <dimension ref="A1:F1841"/>
  <sheetViews>
    <sheetView showGridLines="0" zoomScale="60" zoomScaleNormal="60" workbookViewId="0">
      <pane ySplit="1" topLeftCell="A2" activePane="bottomLeft" state="frozen"/>
      <selection pane="bottomLeft" activeCell="F5" sqref="F5"/>
    </sheetView>
  </sheetViews>
  <sheetFormatPr baseColWidth="10" defaultColWidth="9.1640625" defaultRowHeight="13" x14ac:dyDescent="0.15"/>
  <cols>
    <col min="1" max="1" width="54.33203125" style="1" bestFit="1" customWidth="1"/>
    <col min="2" max="2" width="71.5" style="1" bestFit="1" customWidth="1"/>
    <col min="3" max="3" width="9.6640625" style="1" bestFit="1" customWidth="1"/>
    <col min="4" max="4" width="17.6640625" style="1" bestFit="1" customWidth="1"/>
    <col min="5" max="5" width="14.33203125" style="1" customWidth="1"/>
    <col min="6" max="6" width="20.5" style="1" bestFit="1" customWidth="1"/>
    <col min="7" max="8" width="10.33203125" style="1" bestFit="1" customWidth="1"/>
    <col min="9" max="9" width="9.33203125" style="1" bestFit="1" customWidth="1"/>
    <col min="10" max="10" width="10.33203125" style="1" bestFit="1" customWidth="1"/>
    <col min="11" max="16384" width="9.1640625" style="1"/>
  </cols>
  <sheetData>
    <row r="1" spans="1:6" ht="28" x14ac:dyDescent="0.3">
      <c r="A1" s="5" t="s">
        <v>2</v>
      </c>
      <c r="B1" s="5" t="s">
        <v>3</v>
      </c>
      <c r="C1" s="5" t="s">
        <v>110</v>
      </c>
      <c r="D1" s="5" t="s">
        <v>111</v>
      </c>
      <c r="E1" s="5" t="s">
        <v>112</v>
      </c>
      <c r="F1" s="5" t="s">
        <v>16</v>
      </c>
    </row>
    <row r="2" spans="1:6" ht="28" x14ac:dyDescent="0.3">
      <c r="A2" s="6" t="s">
        <v>6</v>
      </c>
      <c r="B2" s="6" t="s">
        <v>17</v>
      </c>
      <c r="C2" s="6">
        <v>2014</v>
      </c>
      <c r="D2" s="6" t="s">
        <v>0</v>
      </c>
      <c r="E2" s="6" t="s">
        <v>5</v>
      </c>
      <c r="F2" s="7">
        <v>180</v>
      </c>
    </row>
    <row r="3" spans="1:6" ht="28" x14ac:dyDescent="0.3">
      <c r="A3" s="6" t="s">
        <v>6</v>
      </c>
      <c r="B3" s="6" t="s">
        <v>18</v>
      </c>
      <c r="C3" s="6">
        <v>2014</v>
      </c>
      <c r="D3" s="6" t="s">
        <v>0</v>
      </c>
      <c r="E3" s="6" t="s">
        <v>5</v>
      </c>
      <c r="F3" s="7">
        <v>2463</v>
      </c>
    </row>
    <row r="4" spans="1:6" ht="28" x14ac:dyDescent="0.3">
      <c r="A4" s="6" t="s">
        <v>6</v>
      </c>
      <c r="B4" s="6" t="s">
        <v>19</v>
      </c>
      <c r="C4" s="6">
        <v>2014</v>
      </c>
      <c r="D4" s="6" t="s">
        <v>0</v>
      </c>
      <c r="E4" s="6" t="s">
        <v>5</v>
      </c>
      <c r="F4" s="7">
        <v>32</v>
      </c>
    </row>
    <row r="5" spans="1:6" ht="28" x14ac:dyDescent="0.3">
      <c r="A5" s="6" t="s">
        <v>6</v>
      </c>
      <c r="B5" s="6" t="s">
        <v>20</v>
      </c>
      <c r="C5" s="6">
        <v>2014</v>
      </c>
      <c r="D5" s="6" t="s">
        <v>0</v>
      </c>
      <c r="E5" s="6" t="s">
        <v>5</v>
      </c>
      <c r="F5" s="7">
        <v>39251</v>
      </c>
    </row>
    <row r="6" spans="1:6" ht="28" x14ac:dyDescent="0.3">
      <c r="A6" s="6" t="s">
        <v>7</v>
      </c>
      <c r="B6" s="6" t="s">
        <v>21</v>
      </c>
      <c r="C6" s="6">
        <v>2014</v>
      </c>
      <c r="D6" s="6" t="s">
        <v>0</v>
      </c>
      <c r="E6" s="6" t="s">
        <v>5</v>
      </c>
      <c r="F6" s="7">
        <v>9817</v>
      </c>
    </row>
    <row r="7" spans="1:6" ht="28" x14ac:dyDescent="0.3">
      <c r="A7" s="6" t="s">
        <v>7</v>
      </c>
      <c r="B7" s="6" t="s">
        <v>22</v>
      </c>
      <c r="C7" s="6">
        <v>2014</v>
      </c>
      <c r="D7" s="6" t="s">
        <v>0</v>
      </c>
      <c r="E7" s="6" t="s">
        <v>5</v>
      </c>
      <c r="F7" s="7">
        <v>44</v>
      </c>
    </row>
    <row r="8" spans="1:6" ht="28" x14ac:dyDescent="0.3">
      <c r="A8" s="6" t="s">
        <v>7</v>
      </c>
      <c r="B8" s="6" t="s">
        <v>23</v>
      </c>
      <c r="C8" s="6">
        <v>2014</v>
      </c>
      <c r="D8" s="6" t="s">
        <v>0</v>
      </c>
      <c r="E8" s="6" t="s">
        <v>5</v>
      </c>
      <c r="F8" s="7">
        <v>82</v>
      </c>
    </row>
    <row r="9" spans="1:6" ht="28" x14ac:dyDescent="0.3">
      <c r="A9" s="6" t="s">
        <v>8</v>
      </c>
      <c r="B9" s="6" t="s">
        <v>24</v>
      </c>
      <c r="C9" s="6">
        <v>2014</v>
      </c>
      <c r="D9" s="6" t="s">
        <v>0</v>
      </c>
      <c r="E9" s="6" t="s">
        <v>5</v>
      </c>
      <c r="F9" s="7">
        <v>3205</v>
      </c>
    </row>
    <row r="10" spans="1:6" ht="28" x14ac:dyDescent="0.3">
      <c r="A10" s="6" t="s">
        <v>8</v>
      </c>
      <c r="B10" s="6" t="s">
        <v>25</v>
      </c>
      <c r="C10" s="6">
        <v>2014</v>
      </c>
      <c r="D10" s="6" t="s">
        <v>0</v>
      </c>
      <c r="E10" s="6" t="s">
        <v>5</v>
      </c>
      <c r="F10" s="7">
        <v>308</v>
      </c>
    </row>
    <row r="11" spans="1:6" ht="28" x14ac:dyDescent="0.3">
      <c r="A11" s="6" t="s">
        <v>9</v>
      </c>
      <c r="B11" s="6" t="s">
        <v>26</v>
      </c>
      <c r="C11" s="6">
        <v>2014</v>
      </c>
      <c r="D11" s="6" t="s">
        <v>0</v>
      </c>
      <c r="E11" s="6" t="s">
        <v>5</v>
      </c>
      <c r="F11" s="7">
        <v>76</v>
      </c>
    </row>
    <row r="12" spans="1:6" ht="28" x14ac:dyDescent="0.3">
      <c r="A12" s="6" t="s">
        <v>9</v>
      </c>
      <c r="B12" s="6" t="s">
        <v>35</v>
      </c>
      <c r="C12" s="6">
        <v>2014</v>
      </c>
      <c r="D12" s="6" t="s">
        <v>0</v>
      </c>
      <c r="E12" s="6" t="s">
        <v>5</v>
      </c>
      <c r="F12" s="7">
        <v>58</v>
      </c>
    </row>
    <row r="13" spans="1:6" ht="28" x14ac:dyDescent="0.3">
      <c r="A13" s="6" t="s">
        <v>9</v>
      </c>
      <c r="B13" s="6" t="s">
        <v>36</v>
      </c>
      <c r="C13" s="6">
        <v>2014</v>
      </c>
      <c r="D13" s="6" t="s">
        <v>0</v>
      </c>
      <c r="E13" s="6" t="s">
        <v>5</v>
      </c>
      <c r="F13" s="7">
        <v>83</v>
      </c>
    </row>
    <row r="14" spans="1:6" ht="28" x14ac:dyDescent="0.3">
      <c r="A14" s="6" t="s">
        <v>9</v>
      </c>
      <c r="B14" s="6" t="s">
        <v>37</v>
      </c>
      <c r="C14" s="6">
        <v>2014</v>
      </c>
      <c r="D14" s="6" t="s">
        <v>0</v>
      </c>
      <c r="E14" s="6" t="s">
        <v>5</v>
      </c>
      <c r="F14" s="7">
        <v>22</v>
      </c>
    </row>
    <row r="15" spans="1:6" ht="28" x14ac:dyDescent="0.3">
      <c r="A15" s="6" t="s">
        <v>9</v>
      </c>
      <c r="B15" s="6" t="s">
        <v>38</v>
      </c>
      <c r="C15" s="6">
        <v>2014</v>
      </c>
      <c r="D15" s="6" t="s">
        <v>0</v>
      </c>
      <c r="E15" s="6" t="s">
        <v>5</v>
      </c>
      <c r="F15" s="7">
        <v>2306</v>
      </c>
    </row>
    <row r="16" spans="1:6" ht="28" x14ac:dyDescent="0.3">
      <c r="A16" s="6" t="s">
        <v>9</v>
      </c>
      <c r="B16" s="6" t="s">
        <v>39</v>
      </c>
      <c r="C16" s="6">
        <v>2014</v>
      </c>
      <c r="D16" s="6" t="s">
        <v>0</v>
      </c>
      <c r="E16" s="6" t="s">
        <v>5</v>
      </c>
      <c r="F16" s="7">
        <v>72</v>
      </c>
    </row>
    <row r="17" spans="1:6" ht="28" x14ac:dyDescent="0.3">
      <c r="A17" s="6" t="s">
        <v>9</v>
      </c>
      <c r="B17" s="6" t="s">
        <v>40</v>
      </c>
      <c r="C17" s="6">
        <v>2014</v>
      </c>
      <c r="D17" s="6" t="s">
        <v>0</v>
      </c>
      <c r="E17" s="6" t="s">
        <v>5</v>
      </c>
      <c r="F17" s="7">
        <v>70</v>
      </c>
    </row>
    <row r="18" spans="1:6" ht="28" x14ac:dyDescent="0.3">
      <c r="A18" s="6" t="s">
        <v>9</v>
      </c>
      <c r="B18" s="6" t="s">
        <v>41</v>
      </c>
      <c r="C18" s="6">
        <v>2014</v>
      </c>
      <c r="D18" s="6" t="s">
        <v>0</v>
      </c>
      <c r="E18" s="6" t="s">
        <v>5</v>
      </c>
      <c r="F18" s="7">
        <v>3186</v>
      </c>
    </row>
    <row r="19" spans="1:6" ht="28" x14ac:dyDescent="0.3">
      <c r="A19" s="6" t="s">
        <v>9</v>
      </c>
      <c r="B19" s="6" t="s">
        <v>42</v>
      </c>
      <c r="C19" s="6">
        <v>2014</v>
      </c>
      <c r="D19" s="6" t="s">
        <v>0</v>
      </c>
      <c r="E19" s="6" t="s">
        <v>5</v>
      </c>
      <c r="F19" s="7">
        <v>6024</v>
      </c>
    </row>
    <row r="20" spans="1:6" ht="28" x14ac:dyDescent="0.3">
      <c r="A20" s="6" t="s">
        <v>9</v>
      </c>
      <c r="B20" s="6" t="s">
        <v>43</v>
      </c>
      <c r="C20" s="6">
        <v>2014</v>
      </c>
      <c r="D20" s="6" t="s">
        <v>0</v>
      </c>
      <c r="E20" s="6" t="s">
        <v>5</v>
      </c>
      <c r="F20" s="7">
        <v>2698</v>
      </c>
    </row>
    <row r="21" spans="1:6" ht="28" x14ac:dyDescent="0.3">
      <c r="A21" s="6" t="s">
        <v>9</v>
      </c>
      <c r="B21" s="6" t="s">
        <v>44</v>
      </c>
      <c r="C21" s="6">
        <v>2014</v>
      </c>
      <c r="D21" s="6" t="s">
        <v>0</v>
      </c>
      <c r="E21" s="6" t="s">
        <v>5</v>
      </c>
      <c r="F21" s="7">
        <v>730</v>
      </c>
    </row>
    <row r="22" spans="1:6" ht="28" x14ac:dyDescent="0.3">
      <c r="A22" s="6" t="s">
        <v>9</v>
      </c>
      <c r="B22" s="6" t="s">
        <v>27</v>
      </c>
      <c r="C22" s="6">
        <v>2014</v>
      </c>
      <c r="D22" s="6" t="s">
        <v>0</v>
      </c>
      <c r="E22" s="6" t="s">
        <v>5</v>
      </c>
      <c r="F22" s="7">
        <v>262</v>
      </c>
    </row>
    <row r="23" spans="1:6" ht="28" x14ac:dyDescent="0.3">
      <c r="A23" s="6" t="s">
        <v>9</v>
      </c>
      <c r="B23" s="6" t="s">
        <v>45</v>
      </c>
      <c r="C23" s="6">
        <v>2014</v>
      </c>
      <c r="D23" s="6" t="s">
        <v>0</v>
      </c>
      <c r="E23" s="6" t="s">
        <v>5</v>
      </c>
      <c r="F23" s="7">
        <v>11</v>
      </c>
    </row>
    <row r="24" spans="1:6" ht="28" x14ac:dyDescent="0.3">
      <c r="A24" s="6" t="s">
        <v>9</v>
      </c>
      <c r="B24" s="6" t="s">
        <v>46</v>
      </c>
      <c r="C24" s="6">
        <v>2014</v>
      </c>
      <c r="D24" s="6" t="s">
        <v>0</v>
      </c>
      <c r="E24" s="6" t="s">
        <v>5</v>
      </c>
      <c r="F24" s="7">
        <v>1612</v>
      </c>
    </row>
    <row r="25" spans="1:6" ht="28" x14ac:dyDescent="0.3">
      <c r="A25" s="6" t="s">
        <v>9</v>
      </c>
      <c r="B25" s="6" t="s">
        <v>47</v>
      </c>
      <c r="C25" s="6">
        <v>2014</v>
      </c>
      <c r="D25" s="6" t="s">
        <v>0</v>
      </c>
      <c r="E25" s="6" t="s">
        <v>5</v>
      </c>
      <c r="F25" s="7">
        <v>434</v>
      </c>
    </row>
    <row r="26" spans="1:6" ht="28" x14ac:dyDescent="0.3">
      <c r="A26" s="6" t="s">
        <v>9</v>
      </c>
      <c r="B26" s="6" t="s">
        <v>48</v>
      </c>
      <c r="C26" s="6">
        <v>2014</v>
      </c>
      <c r="D26" s="6" t="s">
        <v>0</v>
      </c>
      <c r="E26" s="6" t="s">
        <v>5</v>
      </c>
      <c r="F26" s="7">
        <v>1657</v>
      </c>
    </row>
    <row r="27" spans="1:6" ht="28" x14ac:dyDescent="0.3">
      <c r="A27" s="6" t="s">
        <v>9</v>
      </c>
      <c r="B27" s="6" t="s">
        <v>49</v>
      </c>
      <c r="C27" s="6">
        <v>2014</v>
      </c>
      <c r="D27" s="6" t="s">
        <v>0</v>
      </c>
      <c r="E27" s="6" t="s">
        <v>5</v>
      </c>
      <c r="F27" s="7">
        <v>2446</v>
      </c>
    </row>
    <row r="28" spans="1:6" ht="28" x14ac:dyDescent="0.3">
      <c r="A28" s="6" t="s">
        <v>9</v>
      </c>
      <c r="B28" s="6" t="s">
        <v>50</v>
      </c>
      <c r="C28" s="6">
        <v>2014</v>
      </c>
      <c r="D28" s="6" t="s">
        <v>0</v>
      </c>
      <c r="E28" s="6" t="s">
        <v>5</v>
      </c>
      <c r="F28" s="7">
        <v>1686</v>
      </c>
    </row>
    <row r="29" spans="1:6" ht="28" x14ac:dyDescent="0.3">
      <c r="A29" s="6" t="s">
        <v>9</v>
      </c>
      <c r="B29" s="6" t="s">
        <v>51</v>
      </c>
      <c r="C29" s="6">
        <v>2014</v>
      </c>
      <c r="D29" s="6" t="s">
        <v>0</v>
      </c>
      <c r="E29" s="6" t="s">
        <v>5</v>
      </c>
      <c r="F29" s="7">
        <v>5113</v>
      </c>
    </row>
    <row r="30" spans="1:6" ht="28" x14ac:dyDescent="0.3">
      <c r="A30" s="6" t="s">
        <v>9</v>
      </c>
      <c r="B30" s="6" t="s">
        <v>52</v>
      </c>
      <c r="C30" s="6">
        <v>2014</v>
      </c>
      <c r="D30" s="6" t="s">
        <v>0</v>
      </c>
      <c r="E30" s="6" t="s">
        <v>5</v>
      </c>
      <c r="F30" s="7">
        <v>6124</v>
      </c>
    </row>
    <row r="31" spans="1:6" ht="28" x14ac:dyDescent="0.3">
      <c r="A31" s="6" t="s">
        <v>9</v>
      </c>
      <c r="B31" s="6" t="s">
        <v>53</v>
      </c>
      <c r="C31" s="6">
        <v>2014</v>
      </c>
      <c r="D31" s="6" t="s">
        <v>0</v>
      </c>
      <c r="E31" s="6" t="s">
        <v>5</v>
      </c>
      <c r="F31" s="7">
        <v>6052</v>
      </c>
    </row>
    <row r="32" spans="1:6" ht="28" x14ac:dyDescent="0.3">
      <c r="A32" s="6" t="s">
        <v>9</v>
      </c>
      <c r="B32" s="6" t="s">
        <v>54</v>
      </c>
      <c r="C32" s="6">
        <v>2014</v>
      </c>
      <c r="D32" s="6" t="s">
        <v>0</v>
      </c>
      <c r="E32" s="6" t="s">
        <v>5</v>
      </c>
      <c r="F32" s="7">
        <v>924</v>
      </c>
    </row>
    <row r="33" spans="1:6" ht="28" x14ac:dyDescent="0.3">
      <c r="A33" s="6" t="s">
        <v>9</v>
      </c>
      <c r="B33" s="6" t="s">
        <v>28</v>
      </c>
      <c r="C33" s="6">
        <v>2014</v>
      </c>
      <c r="D33" s="6" t="s">
        <v>0</v>
      </c>
      <c r="E33" s="6" t="s">
        <v>5</v>
      </c>
      <c r="F33" s="7">
        <v>1609</v>
      </c>
    </row>
    <row r="34" spans="1:6" ht="28" x14ac:dyDescent="0.3">
      <c r="A34" s="6" t="s">
        <v>9</v>
      </c>
      <c r="B34" s="6" t="s">
        <v>55</v>
      </c>
      <c r="C34" s="6">
        <v>2014</v>
      </c>
      <c r="D34" s="6" t="s">
        <v>0</v>
      </c>
      <c r="E34" s="6" t="s">
        <v>5</v>
      </c>
      <c r="F34" s="7">
        <v>2897</v>
      </c>
    </row>
    <row r="35" spans="1:6" ht="28" x14ac:dyDescent="0.3">
      <c r="A35" s="6" t="s">
        <v>9</v>
      </c>
      <c r="B35" s="6" t="s">
        <v>56</v>
      </c>
      <c r="C35" s="6">
        <v>2014</v>
      </c>
      <c r="D35" s="6" t="s">
        <v>0</v>
      </c>
      <c r="E35" s="6" t="s">
        <v>5</v>
      </c>
      <c r="F35" s="7">
        <v>5826</v>
      </c>
    </row>
    <row r="36" spans="1:6" ht="28" x14ac:dyDescent="0.3">
      <c r="A36" s="6" t="s">
        <v>9</v>
      </c>
      <c r="B36" s="6" t="s">
        <v>57</v>
      </c>
      <c r="C36" s="6">
        <v>2014</v>
      </c>
      <c r="D36" s="6" t="s">
        <v>0</v>
      </c>
      <c r="E36" s="6" t="s">
        <v>5</v>
      </c>
      <c r="F36" s="7">
        <v>2812</v>
      </c>
    </row>
    <row r="37" spans="1:6" ht="28" x14ac:dyDescent="0.3">
      <c r="A37" s="6" t="s">
        <v>9</v>
      </c>
      <c r="B37" s="6" t="s">
        <v>58</v>
      </c>
      <c r="C37" s="6">
        <v>2014</v>
      </c>
      <c r="D37" s="6" t="s">
        <v>0</v>
      </c>
      <c r="E37" s="6" t="s">
        <v>5</v>
      </c>
      <c r="F37" s="7">
        <v>6274</v>
      </c>
    </row>
    <row r="38" spans="1:6" ht="28" x14ac:dyDescent="0.3">
      <c r="A38" s="6" t="s">
        <v>9</v>
      </c>
      <c r="B38" s="6" t="s">
        <v>29</v>
      </c>
      <c r="C38" s="6">
        <v>2014</v>
      </c>
      <c r="D38" s="6" t="s">
        <v>0</v>
      </c>
      <c r="E38" s="6" t="s">
        <v>5</v>
      </c>
      <c r="F38" s="7">
        <v>22</v>
      </c>
    </row>
    <row r="39" spans="1:6" ht="28" x14ac:dyDescent="0.3">
      <c r="A39" s="6" t="s">
        <v>9</v>
      </c>
      <c r="B39" s="6" t="s">
        <v>30</v>
      </c>
      <c r="C39" s="6">
        <v>2014</v>
      </c>
      <c r="D39" s="6" t="s">
        <v>0</v>
      </c>
      <c r="E39" s="6" t="s">
        <v>5</v>
      </c>
      <c r="F39" s="7">
        <v>120</v>
      </c>
    </row>
    <row r="40" spans="1:6" ht="28" x14ac:dyDescent="0.3">
      <c r="A40" s="6" t="s">
        <v>9</v>
      </c>
      <c r="B40" s="6" t="s">
        <v>31</v>
      </c>
      <c r="C40" s="6">
        <v>2014</v>
      </c>
      <c r="D40" s="6" t="s">
        <v>0</v>
      </c>
      <c r="E40" s="6" t="s">
        <v>5</v>
      </c>
      <c r="F40" s="7">
        <v>2579</v>
      </c>
    </row>
    <row r="41" spans="1:6" ht="28" x14ac:dyDescent="0.3">
      <c r="A41" s="6" t="s">
        <v>9</v>
      </c>
      <c r="B41" s="6" t="s">
        <v>32</v>
      </c>
      <c r="C41" s="6">
        <v>2014</v>
      </c>
      <c r="D41" s="6" t="s">
        <v>0</v>
      </c>
      <c r="E41" s="6" t="s">
        <v>5</v>
      </c>
      <c r="F41" s="7">
        <v>60</v>
      </c>
    </row>
    <row r="42" spans="1:6" ht="28" x14ac:dyDescent="0.3">
      <c r="A42" s="6" t="s">
        <v>9</v>
      </c>
      <c r="B42" s="6" t="s">
        <v>33</v>
      </c>
      <c r="C42" s="6">
        <v>2014</v>
      </c>
      <c r="D42" s="6" t="s">
        <v>0</v>
      </c>
      <c r="E42" s="6" t="s">
        <v>5</v>
      </c>
      <c r="F42" s="7">
        <v>154</v>
      </c>
    </row>
    <row r="43" spans="1:6" ht="28" x14ac:dyDescent="0.3">
      <c r="A43" s="6" t="s">
        <v>9</v>
      </c>
      <c r="B43" s="6" t="s">
        <v>34</v>
      </c>
      <c r="C43" s="6">
        <v>2014</v>
      </c>
      <c r="D43" s="6" t="s">
        <v>0</v>
      </c>
      <c r="E43" s="6" t="s">
        <v>5</v>
      </c>
      <c r="F43" s="7">
        <v>415</v>
      </c>
    </row>
    <row r="44" spans="1:6" ht="28" x14ac:dyDescent="0.3">
      <c r="A44" s="6" t="s">
        <v>10</v>
      </c>
      <c r="B44" s="6" t="s">
        <v>59</v>
      </c>
      <c r="C44" s="6">
        <v>2014</v>
      </c>
      <c r="D44" s="6" t="s">
        <v>0</v>
      </c>
      <c r="E44" s="6" t="s">
        <v>5</v>
      </c>
      <c r="F44" s="7">
        <v>1840</v>
      </c>
    </row>
    <row r="45" spans="1:6" ht="28" x14ac:dyDescent="0.3">
      <c r="A45" s="6" t="s">
        <v>10</v>
      </c>
      <c r="B45" s="6" t="s">
        <v>60</v>
      </c>
      <c r="C45" s="6">
        <v>2014</v>
      </c>
      <c r="D45" s="6" t="s">
        <v>0</v>
      </c>
      <c r="E45" s="6" t="s">
        <v>5</v>
      </c>
      <c r="F45" s="7">
        <v>81</v>
      </c>
    </row>
    <row r="46" spans="1:6" ht="28" x14ac:dyDescent="0.3">
      <c r="A46" s="6" t="s">
        <v>10</v>
      </c>
      <c r="B46" s="6" t="s">
        <v>61</v>
      </c>
      <c r="C46" s="6">
        <v>2014</v>
      </c>
      <c r="D46" s="6" t="s">
        <v>0</v>
      </c>
      <c r="E46" s="6" t="s">
        <v>5</v>
      </c>
      <c r="F46" s="7">
        <v>86</v>
      </c>
    </row>
    <row r="47" spans="1:6" ht="28" x14ac:dyDescent="0.3">
      <c r="A47" s="6" t="s">
        <v>10</v>
      </c>
      <c r="B47" s="6" t="s">
        <v>62</v>
      </c>
      <c r="C47" s="6">
        <v>2014</v>
      </c>
      <c r="D47" s="6" t="s">
        <v>0</v>
      </c>
      <c r="E47" s="6" t="s">
        <v>5</v>
      </c>
      <c r="F47" s="7">
        <v>24</v>
      </c>
    </row>
    <row r="48" spans="1:6" ht="28" x14ac:dyDescent="0.3">
      <c r="A48" s="6" t="s">
        <v>10</v>
      </c>
      <c r="B48" s="6" t="s">
        <v>63</v>
      </c>
      <c r="C48" s="6">
        <v>2014</v>
      </c>
      <c r="D48" s="6" t="s">
        <v>0</v>
      </c>
      <c r="E48" s="6" t="s">
        <v>5</v>
      </c>
      <c r="F48" s="7">
        <v>288</v>
      </c>
    </row>
    <row r="49" spans="1:6" ht="28" x14ac:dyDescent="0.3">
      <c r="A49" s="6" t="s">
        <v>10</v>
      </c>
      <c r="B49" s="6" t="s">
        <v>64</v>
      </c>
      <c r="C49" s="6">
        <v>2014</v>
      </c>
      <c r="D49" s="6" t="s">
        <v>0</v>
      </c>
      <c r="E49" s="6" t="s">
        <v>5</v>
      </c>
      <c r="F49" s="7">
        <v>29</v>
      </c>
    </row>
    <row r="50" spans="1:6" ht="28" x14ac:dyDescent="0.3">
      <c r="A50" s="6" t="s">
        <v>10</v>
      </c>
      <c r="B50" s="6" t="s">
        <v>65</v>
      </c>
      <c r="C50" s="6">
        <v>2014</v>
      </c>
      <c r="D50" s="6" t="s">
        <v>0</v>
      </c>
      <c r="E50" s="6" t="s">
        <v>5</v>
      </c>
      <c r="F50" s="7">
        <v>10216</v>
      </c>
    </row>
    <row r="51" spans="1:6" ht="28" x14ac:dyDescent="0.3">
      <c r="A51" s="6" t="s">
        <v>10</v>
      </c>
      <c r="B51" s="6" t="s">
        <v>66</v>
      </c>
      <c r="C51" s="6">
        <v>2014</v>
      </c>
      <c r="D51" s="6" t="s">
        <v>0</v>
      </c>
      <c r="E51" s="6" t="s">
        <v>5</v>
      </c>
      <c r="F51" s="7">
        <v>149</v>
      </c>
    </row>
    <row r="52" spans="1:6" ht="28" x14ac:dyDescent="0.3">
      <c r="A52" s="6" t="s">
        <v>11</v>
      </c>
      <c r="B52" s="6" t="s">
        <v>67</v>
      </c>
      <c r="C52" s="6">
        <v>2014</v>
      </c>
      <c r="D52" s="6" t="s">
        <v>0</v>
      </c>
      <c r="E52" s="6" t="s">
        <v>5</v>
      </c>
      <c r="F52" s="7">
        <v>86</v>
      </c>
    </row>
    <row r="53" spans="1:6" ht="28" x14ac:dyDescent="0.3">
      <c r="A53" s="6" t="s">
        <v>11</v>
      </c>
      <c r="B53" s="6" t="s">
        <v>76</v>
      </c>
      <c r="C53" s="6">
        <v>2014</v>
      </c>
      <c r="D53" s="6" t="s">
        <v>0</v>
      </c>
      <c r="E53" s="6" t="s">
        <v>5</v>
      </c>
      <c r="F53" s="7">
        <v>363</v>
      </c>
    </row>
    <row r="54" spans="1:6" ht="28" x14ac:dyDescent="0.3">
      <c r="A54" s="6" t="s">
        <v>11</v>
      </c>
      <c r="B54" s="6" t="s">
        <v>77</v>
      </c>
      <c r="C54" s="6">
        <v>2014</v>
      </c>
      <c r="D54" s="6" t="s">
        <v>0</v>
      </c>
      <c r="E54" s="6" t="s">
        <v>5</v>
      </c>
      <c r="F54" s="7">
        <v>266</v>
      </c>
    </row>
    <row r="55" spans="1:6" ht="28" x14ac:dyDescent="0.3">
      <c r="A55" s="6" t="s">
        <v>11</v>
      </c>
      <c r="B55" s="6" t="s">
        <v>78</v>
      </c>
      <c r="C55" s="6">
        <v>2014</v>
      </c>
      <c r="D55" s="6" t="s">
        <v>0</v>
      </c>
      <c r="E55" s="6" t="s">
        <v>5</v>
      </c>
      <c r="F55" s="7">
        <v>151</v>
      </c>
    </row>
    <row r="56" spans="1:6" ht="28" x14ac:dyDescent="0.3">
      <c r="A56" s="6" t="s">
        <v>11</v>
      </c>
      <c r="B56" s="6" t="s">
        <v>79</v>
      </c>
      <c r="C56" s="6">
        <v>2014</v>
      </c>
      <c r="D56" s="6" t="s">
        <v>0</v>
      </c>
      <c r="E56" s="6" t="s">
        <v>5</v>
      </c>
      <c r="F56" s="7">
        <v>33</v>
      </c>
    </row>
    <row r="57" spans="1:6" ht="28" x14ac:dyDescent="0.3">
      <c r="A57" s="6" t="s">
        <v>11</v>
      </c>
      <c r="B57" s="6" t="s">
        <v>80</v>
      </c>
      <c r="C57" s="6">
        <v>2014</v>
      </c>
      <c r="D57" s="6" t="s">
        <v>0</v>
      </c>
      <c r="E57" s="6" t="s">
        <v>5</v>
      </c>
      <c r="F57" s="7">
        <v>92</v>
      </c>
    </row>
    <row r="58" spans="1:6" ht="28" x14ac:dyDescent="0.3">
      <c r="A58" s="6" t="s">
        <v>11</v>
      </c>
      <c r="B58" s="6" t="s">
        <v>68</v>
      </c>
      <c r="C58" s="6">
        <v>2014</v>
      </c>
      <c r="D58" s="6" t="s">
        <v>0</v>
      </c>
      <c r="E58" s="6" t="s">
        <v>5</v>
      </c>
      <c r="F58" s="7">
        <v>248</v>
      </c>
    </row>
    <row r="59" spans="1:6" ht="28" x14ac:dyDescent="0.3">
      <c r="A59" s="6" t="s">
        <v>11</v>
      </c>
      <c r="B59" s="6" t="s">
        <v>69</v>
      </c>
      <c r="C59" s="6">
        <v>2014</v>
      </c>
      <c r="D59" s="6" t="s">
        <v>0</v>
      </c>
      <c r="E59" s="6" t="s">
        <v>5</v>
      </c>
      <c r="F59" s="7">
        <v>5436</v>
      </c>
    </row>
    <row r="60" spans="1:6" ht="28" x14ac:dyDescent="0.3">
      <c r="A60" s="6" t="s">
        <v>11</v>
      </c>
      <c r="B60" s="6" t="s">
        <v>70</v>
      </c>
      <c r="C60" s="6">
        <v>2014</v>
      </c>
      <c r="D60" s="6" t="s">
        <v>0</v>
      </c>
      <c r="E60" s="6" t="s">
        <v>5</v>
      </c>
      <c r="F60" s="7">
        <v>389</v>
      </c>
    </row>
    <row r="61" spans="1:6" ht="28" x14ac:dyDescent="0.3">
      <c r="A61" s="6" t="s">
        <v>11</v>
      </c>
      <c r="B61" s="6" t="s">
        <v>71</v>
      </c>
      <c r="C61" s="6">
        <v>2014</v>
      </c>
      <c r="D61" s="6" t="s">
        <v>0</v>
      </c>
      <c r="E61" s="6" t="s">
        <v>5</v>
      </c>
      <c r="F61" s="7">
        <v>17</v>
      </c>
    </row>
    <row r="62" spans="1:6" ht="28" x14ac:dyDescent="0.3">
      <c r="A62" s="6" t="s">
        <v>11</v>
      </c>
      <c r="B62" s="6" t="s">
        <v>72</v>
      </c>
      <c r="C62" s="6">
        <v>2014</v>
      </c>
      <c r="D62" s="6" t="s">
        <v>0</v>
      </c>
      <c r="E62" s="6" t="s">
        <v>5</v>
      </c>
      <c r="F62" s="7">
        <v>602</v>
      </c>
    </row>
    <row r="63" spans="1:6" ht="28" x14ac:dyDescent="0.3">
      <c r="A63" s="6" t="s">
        <v>11</v>
      </c>
      <c r="B63" s="6" t="s">
        <v>73</v>
      </c>
      <c r="C63" s="6">
        <v>2014</v>
      </c>
      <c r="D63" s="6" t="s">
        <v>0</v>
      </c>
      <c r="E63" s="6" t="s">
        <v>5</v>
      </c>
      <c r="F63" s="7">
        <v>195</v>
      </c>
    </row>
    <row r="64" spans="1:6" ht="28" x14ac:dyDescent="0.3">
      <c r="A64" s="6" t="s">
        <v>11</v>
      </c>
      <c r="B64" s="6" t="s">
        <v>74</v>
      </c>
      <c r="C64" s="6">
        <v>2014</v>
      </c>
      <c r="D64" s="6" t="s">
        <v>0</v>
      </c>
      <c r="E64" s="6" t="s">
        <v>5</v>
      </c>
      <c r="F64" s="7">
        <v>63</v>
      </c>
    </row>
    <row r="65" spans="1:6" ht="28" x14ac:dyDescent="0.3">
      <c r="A65" s="6" t="s">
        <v>11</v>
      </c>
      <c r="B65" s="6" t="s">
        <v>75</v>
      </c>
      <c r="C65" s="6">
        <v>2014</v>
      </c>
      <c r="D65" s="6" t="s">
        <v>0</v>
      </c>
      <c r="E65" s="6" t="s">
        <v>5</v>
      </c>
      <c r="F65" s="7">
        <v>6003</v>
      </c>
    </row>
    <row r="66" spans="1:6" ht="28" x14ac:dyDescent="0.3">
      <c r="A66" s="6" t="s">
        <v>12</v>
      </c>
      <c r="B66" s="6" t="s">
        <v>81</v>
      </c>
      <c r="C66" s="6">
        <v>2014</v>
      </c>
      <c r="D66" s="6" t="s">
        <v>0</v>
      </c>
      <c r="E66" s="6" t="s">
        <v>5</v>
      </c>
      <c r="F66" s="7">
        <v>106</v>
      </c>
    </row>
    <row r="67" spans="1:6" ht="28" x14ac:dyDescent="0.3">
      <c r="A67" s="6" t="s">
        <v>12</v>
      </c>
      <c r="B67" s="6" t="s">
        <v>82</v>
      </c>
      <c r="C67" s="6">
        <v>2014</v>
      </c>
      <c r="D67" s="6" t="s">
        <v>0</v>
      </c>
      <c r="E67" s="6" t="s">
        <v>5</v>
      </c>
      <c r="F67" s="7">
        <v>367</v>
      </c>
    </row>
    <row r="68" spans="1:6" ht="28" x14ac:dyDescent="0.3">
      <c r="A68" s="6" t="s">
        <v>12</v>
      </c>
      <c r="B68" s="6" t="s">
        <v>83</v>
      </c>
      <c r="C68" s="6">
        <v>2014</v>
      </c>
      <c r="D68" s="6" t="s">
        <v>0</v>
      </c>
      <c r="E68" s="6" t="s">
        <v>5</v>
      </c>
      <c r="F68" s="7">
        <v>191</v>
      </c>
    </row>
    <row r="69" spans="1:6" ht="28" x14ac:dyDescent="0.3">
      <c r="A69" s="6" t="s">
        <v>12</v>
      </c>
      <c r="B69" s="6" t="s">
        <v>84</v>
      </c>
      <c r="C69" s="6">
        <v>2014</v>
      </c>
      <c r="D69" s="6" t="s">
        <v>0</v>
      </c>
      <c r="E69" s="6" t="s">
        <v>5</v>
      </c>
      <c r="F69" s="7">
        <v>81</v>
      </c>
    </row>
    <row r="70" spans="1:6" ht="28" x14ac:dyDescent="0.3">
      <c r="A70" s="6" t="s">
        <v>12</v>
      </c>
      <c r="B70" s="6" t="s">
        <v>85</v>
      </c>
      <c r="C70" s="6">
        <v>2014</v>
      </c>
      <c r="D70" s="6" t="s">
        <v>0</v>
      </c>
      <c r="E70" s="6" t="s">
        <v>5</v>
      </c>
      <c r="F70" s="7">
        <v>1370</v>
      </c>
    </row>
    <row r="71" spans="1:6" ht="28" x14ac:dyDescent="0.3">
      <c r="A71" s="6" t="s">
        <v>12</v>
      </c>
      <c r="B71" s="6" t="s">
        <v>86</v>
      </c>
      <c r="C71" s="6">
        <v>2014</v>
      </c>
      <c r="D71" s="6" t="s">
        <v>0</v>
      </c>
      <c r="E71" s="6" t="s">
        <v>5</v>
      </c>
      <c r="F71" s="7">
        <v>41</v>
      </c>
    </row>
    <row r="72" spans="1:6" ht="28" x14ac:dyDescent="0.3">
      <c r="A72" s="6" t="s">
        <v>12</v>
      </c>
      <c r="B72" s="6" t="s">
        <v>87</v>
      </c>
      <c r="C72" s="6">
        <v>2014</v>
      </c>
      <c r="D72" s="6" t="s">
        <v>0</v>
      </c>
      <c r="E72" s="6" t="s">
        <v>5</v>
      </c>
      <c r="F72" s="7">
        <v>169</v>
      </c>
    </row>
    <row r="73" spans="1:6" ht="28" x14ac:dyDescent="0.3">
      <c r="A73" s="6" t="s">
        <v>12</v>
      </c>
      <c r="B73" s="6" t="s">
        <v>88</v>
      </c>
      <c r="C73" s="6">
        <v>2014</v>
      </c>
      <c r="D73" s="6" t="s">
        <v>0</v>
      </c>
      <c r="E73" s="6" t="s">
        <v>5</v>
      </c>
      <c r="F73" s="7">
        <v>714</v>
      </c>
    </row>
    <row r="74" spans="1:6" ht="28" x14ac:dyDescent="0.3">
      <c r="A74" s="6" t="s">
        <v>13</v>
      </c>
      <c r="B74" s="6" t="s">
        <v>89</v>
      </c>
      <c r="C74" s="6">
        <v>2014</v>
      </c>
      <c r="D74" s="6" t="s">
        <v>0</v>
      </c>
      <c r="E74" s="6" t="s">
        <v>5</v>
      </c>
      <c r="F74" s="7">
        <v>14</v>
      </c>
    </row>
    <row r="75" spans="1:6" ht="28" x14ac:dyDescent="0.3">
      <c r="A75" s="6" t="s">
        <v>13</v>
      </c>
      <c r="B75" s="6" t="s">
        <v>98</v>
      </c>
      <c r="C75" s="6">
        <v>2014</v>
      </c>
      <c r="D75" s="6" t="s">
        <v>0</v>
      </c>
      <c r="E75" s="6" t="s">
        <v>5</v>
      </c>
      <c r="F75" s="7">
        <v>27</v>
      </c>
    </row>
    <row r="76" spans="1:6" ht="28" x14ac:dyDescent="0.3">
      <c r="A76" s="6" t="s">
        <v>13</v>
      </c>
      <c r="B76" s="6" t="s">
        <v>99</v>
      </c>
      <c r="C76" s="6">
        <v>2014</v>
      </c>
      <c r="D76" s="6" t="s">
        <v>0</v>
      </c>
      <c r="E76" s="6" t="s">
        <v>5</v>
      </c>
      <c r="F76" s="7">
        <v>71</v>
      </c>
    </row>
    <row r="77" spans="1:6" ht="28" x14ac:dyDescent="0.3">
      <c r="A77" s="6" t="s">
        <v>13</v>
      </c>
      <c r="B77" s="6" t="s">
        <v>90</v>
      </c>
      <c r="C77" s="6">
        <v>2014</v>
      </c>
      <c r="D77" s="6" t="s">
        <v>0</v>
      </c>
      <c r="E77" s="6" t="s">
        <v>5</v>
      </c>
      <c r="F77" s="7">
        <v>261</v>
      </c>
    </row>
    <row r="78" spans="1:6" ht="28" x14ac:dyDescent="0.3">
      <c r="A78" s="6" t="s">
        <v>13</v>
      </c>
      <c r="B78" s="6" t="s">
        <v>91</v>
      </c>
      <c r="C78" s="6">
        <v>2014</v>
      </c>
      <c r="D78" s="6" t="s">
        <v>0</v>
      </c>
      <c r="E78" s="6" t="s">
        <v>5</v>
      </c>
      <c r="F78" s="7">
        <v>85</v>
      </c>
    </row>
    <row r="79" spans="1:6" ht="28" x14ac:dyDescent="0.3">
      <c r="A79" s="6" t="s">
        <v>13</v>
      </c>
      <c r="B79" s="6" t="s">
        <v>92</v>
      </c>
      <c r="C79" s="6">
        <v>2014</v>
      </c>
      <c r="D79" s="6" t="s">
        <v>0</v>
      </c>
      <c r="E79" s="6" t="s">
        <v>5</v>
      </c>
      <c r="F79" s="7">
        <v>58</v>
      </c>
    </row>
    <row r="80" spans="1:6" ht="28" x14ac:dyDescent="0.3">
      <c r="A80" s="6" t="s">
        <v>13</v>
      </c>
      <c r="B80" s="6" t="s">
        <v>93</v>
      </c>
      <c r="C80" s="6">
        <v>2014</v>
      </c>
      <c r="D80" s="6" t="s">
        <v>0</v>
      </c>
      <c r="E80" s="6" t="s">
        <v>5</v>
      </c>
      <c r="F80" s="7">
        <v>18</v>
      </c>
    </row>
    <row r="81" spans="1:6" ht="28" x14ac:dyDescent="0.3">
      <c r="A81" s="6" t="s">
        <v>13</v>
      </c>
      <c r="B81" s="6" t="s">
        <v>94</v>
      </c>
      <c r="C81" s="6">
        <v>2014</v>
      </c>
      <c r="D81" s="6" t="s">
        <v>0</v>
      </c>
      <c r="E81" s="6" t="s">
        <v>5</v>
      </c>
      <c r="F81" s="7">
        <v>14</v>
      </c>
    </row>
    <row r="82" spans="1:6" ht="28" x14ac:dyDescent="0.3">
      <c r="A82" s="6" t="s">
        <v>13</v>
      </c>
      <c r="B82" s="6" t="s">
        <v>95</v>
      </c>
      <c r="C82" s="6">
        <v>2014</v>
      </c>
      <c r="D82" s="6" t="s">
        <v>0</v>
      </c>
      <c r="E82" s="6" t="s">
        <v>5</v>
      </c>
      <c r="F82" s="7">
        <v>32</v>
      </c>
    </row>
    <row r="83" spans="1:6" ht="28" x14ac:dyDescent="0.3">
      <c r="A83" s="6" t="s">
        <v>13</v>
      </c>
      <c r="B83" s="6" t="s">
        <v>96</v>
      </c>
      <c r="C83" s="6">
        <v>2014</v>
      </c>
      <c r="D83" s="6" t="s">
        <v>0</v>
      </c>
      <c r="E83" s="6" t="s">
        <v>5</v>
      </c>
      <c r="F83" s="7">
        <v>267</v>
      </c>
    </row>
    <row r="84" spans="1:6" ht="28" x14ac:dyDescent="0.3">
      <c r="A84" s="6" t="s">
        <v>13</v>
      </c>
      <c r="B84" s="6" t="s">
        <v>97</v>
      </c>
      <c r="C84" s="6">
        <v>2014</v>
      </c>
      <c r="D84" s="6" t="s">
        <v>0</v>
      </c>
      <c r="E84" s="6" t="s">
        <v>5</v>
      </c>
      <c r="F84" s="7">
        <v>129</v>
      </c>
    </row>
    <row r="85" spans="1:6" ht="28" x14ac:dyDescent="0.3">
      <c r="A85" s="6" t="s">
        <v>14</v>
      </c>
      <c r="B85" s="6" t="s">
        <v>100</v>
      </c>
      <c r="C85" s="6">
        <v>2014</v>
      </c>
      <c r="D85" s="6" t="s">
        <v>0</v>
      </c>
      <c r="E85" s="6" t="s">
        <v>5</v>
      </c>
      <c r="F85" s="7">
        <v>413</v>
      </c>
    </row>
    <row r="86" spans="1:6" ht="28" x14ac:dyDescent="0.3">
      <c r="A86" s="6" t="s">
        <v>14</v>
      </c>
      <c r="B86" s="6" t="s">
        <v>101</v>
      </c>
      <c r="C86" s="6">
        <v>2014</v>
      </c>
      <c r="D86" s="6" t="s">
        <v>0</v>
      </c>
      <c r="E86" s="6" t="s">
        <v>5</v>
      </c>
      <c r="F86" s="7">
        <v>44</v>
      </c>
    </row>
    <row r="87" spans="1:6" ht="28" x14ac:dyDescent="0.3">
      <c r="A87" s="6" t="s">
        <v>14</v>
      </c>
      <c r="B87" s="6" t="s">
        <v>102</v>
      </c>
      <c r="C87" s="6">
        <v>2014</v>
      </c>
      <c r="D87" s="6" t="s">
        <v>0</v>
      </c>
      <c r="E87" s="6" t="s">
        <v>5</v>
      </c>
      <c r="F87" s="7">
        <v>1446</v>
      </c>
    </row>
    <row r="88" spans="1:6" ht="28" x14ac:dyDescent="0.3">
      <c r="A88" s="6" t="s">
        <v>14</v>
      </c>
      <c r="B88" s="6" t="s">
        <v>103</v>
      </c>
      <c r="C88" s="6">
        <v>2014</v>
      </c>
      <c r="D88" s="6" t="s">
        <v>0</v>
      </c>
      <c r="E88" s="6" t="s">
        <v>5</v>
      </c>
      <c r="F88" s="7">
        <v>362</v>
      </c>
    </row>
    <row r="89" spans="1:6" ht="28" x14ac:dyDescent="0.3">
      <c r="A89" s="6" t="s">
        <v>14</v>
      </c>
      <c r="B89" s="6" t="s">
        <v>104</v>
      </c>
      <c r="C89" s="6">
        <v>2014</v>
      </c>
      <c r="D89" s="6" t="s">
        <v>0</v>
      </c>
      <c r="E89" s="6" t="s">
        <v>5</v>
      </c>
      <c r="F89" s="7">
        <v>1595</v>
      </c>
    </row>
    <row r="90" spans="1:6" ht="28" x14ac:dyDescent="0.3">
      <c r="A90" s="6" t="s">
        <v>14</v>
      </c>
      <c r="B90" s="6" t="s">
        <v>105</v>
      </c>
      <c r="C90" s="6">
        <v>2014</v>
      </c>
      <c r="D90" s="6" t="s">
        <v>0</v>
      </c>
      <c r="E90" s="6" t="s">
        <v>5</v>
      </c>
      <c r="F90" s="7">
        <v>1318</v>
      </c>
    </row>
    <row r="91" spans="1:6" ht="28" x14ac:dyDescent="0.3">
      <c r="A91" s="6" t="s">
        <v>15</v>
      </c>
      <c r="B91" s="6" t="s">
        <v>106</v>
      </c>
      <c r="C91" s="6">
        <v>2014</v>
      </c>
      <c r="D91" s="6" t="s">
        <v>0</v>
      </c>
      <c r="E91" s="6" t="s">
        <v>5</v>
      </c>
      <c r="F91" s="7">
        <v>311</v>
      </c>
    </row>
    <row r="92" spans="1:6" ht="28" x14ac:dyDescent="0.3">
      <c r="A92" s="6" t="s">
        <v>15</v>
      </c>
      <c r="B92" s="6" t="s">
        <v>107</v>
      </c>
      <c r="C92" s="6">
        <v>2014</v>
      </c>
      <c r="D92" s="6" t="s">
        <v>0</v>
      </c>
      <c r="E92" s="6" t="s">
        <v>5</v>
      </c>
      <c r="F92" s="7">
        <v>578</v>
      </c>
    </row>
    <row r="93" spans="1:6" ht="28" x14ac:dyDescent="0.3">
      <c r="A93" s="6" t="s">
        <v>15</v>
      </c>
      <c r="B93" s="6" t="s">
        <v>108</v>
      </c>
      <c r="C93" s="6">
        <v>2014</v>
      </c>
      <c r="D93" s="6" t="s">
        <v>0</v>
      </c>
      <c r="E93" s="6" t="s">
        <v>5</v>
      </c>
      <c r="F93" s="7">
        <v>258</v>
      </c>
    </row>
    <row r="94" spans="1:6" ht="28" x14ac:dyDescent="0.3">
      <c r="A94" s="6" t="s">
        <v>6</v>
      </c>
      <c r="B94" s="6" t="s">
        <v>17</v>
      </c>
      <c r="C94" s="6">
        <v>2014</v>
      </c>
      <c r="D94" s="6" t="s">
        <v>0</v>
      </c>
      <c r="E94" s="6" t="s">
        <v>4</v>
      </c>
      <c r="F94" s="7">
        <v>107</v>
      </c>
    </row>
    <row r="95" spans="1:6" ht="28" x14ac:dyDescent="0.3">
      <c r="A95" s="6" t="s">
        <v>6</v>
      </c>
      <c r="B95" s="6" t="s">
        <v>18</v>
      </c>
      <c r="C95" s="6">
        <v>2014</v>
      </c>
      <c r="D95" s="6" t="s">
        <v>0</v>
      </c>
      <c r="E95" s="6" t="s">
        <v>4</v>
      </c>
      <c r="F95" s="7">
        <v>2797</v>
      </c>
    </row>
    <row r="96" spans="1:6" ht="28" x14ac:dyDescent="0.3">
      <c r="A96" s="6" t="s">
        <v>6</v>
      </c>
      <c r="B96" s="6" t="s">
        <v>19</v>
      </c>
      <c r="C96" s="6">
        <v>2014</v>
      </c>
      <c r="D96" s="6" t="s">
        <v>0</v>
      </c>
      <c r="E96" s="6" t="s">
        <v>4</v>
      </c>
      <c r="F96" s="7">
        <v>6</v>
      </c>
    </row>
    <row r="97" spans="1:6" ht="28" x14ac:dyDescent="0.3">
      <c r="A97" s="6" t="s">
        <v>6</v>
      </c>
      <c r="B97" s="6" t="s">
        <v>20</v>
      </c>
      <c r="C97" s="6">
        <v>2014</v>
      </c>
      <c r="D97" s="6" t="s">
        <v>0</v>
      </c>
      <c r="E97" s="6" t="s">
        <v>4</v>
      </c>
      <c r="F97" s="7">
        <v>16463</v>
      </c>
    </row>
    <row r="98" spans="1:6" ht="28" x14ac:dyDescent="0.3">
      <c r="A98" s="6" t="s">
        <v>7</v>
      </c>
      <c r="B98" s="6" t="s">
        <v>21</v>
      </c>
      <c r="C98" s="6">
        <v>2014</v>
      </c>
      <c r="D98" s="6" t="s">
        <v>0</v>
      </c>
      <c r="E98" s="6" t="s">
        <v>4</v>
      </c>
      <c r="F98" s="7">
        <v>3803</v>
      </c>
    </row>
    <row r="99" spans="1:6" ht="28" x14ac:dyDescent="0.3">
      <c r="A99" s="6" t="s">
        <v>7</v>
      </c>
      <c r="B99" s="6" t="s">
        <v>22</v>
      </c>
      <c r="C99" s="6">
        <v>2014</v>
      </c>
      <c r="D99" s="6" t="s">
        <v>0</v>
      </c>
      <c r="E99" s="6" t="s">
        <v>4</v>
      </c>
      <c r="F99" s="7">
        <v>22</v>
      </c>
    </row>
    <row r="100" spans="1:6" ht="28" x14ac:dyDescent="0.3">
      <c r="A100" s="6" t="s">
        <v>7</v>
      </c>
      <c r="B100" s="6" t="s">
        <v>23</v>
      </c>
      <c r="C100" s="6">
        <v>2014</v>
      </c>
      <c r="D100" s="6" t="s">
        <v>0</v>
      </c>
      <c r="E100" s="6" t="s">
        <v>4</v>
      </c>
      <c r="F100" s="7">
        <v>24</v>
      </c>
    </row>
    <row r="101" spans="1:6" ht="28" x14ac:dyDescent="0.3">
      <c r="A101" s="6" t="s">
        <v>8</v>
      </c>
      <c r="B101" s="6" t="s">
        <v>24</v>
      </c>
      <c r="C101" s="6">
        <v>2014</v>
      </c>
      <c r="D101" s="6" t="s">
        <v>0</v>
      </c>
      <c r="E101" s="6" t="s">
        <v>4</v>
      </c>
      <c r="F101" s="7">
        <v>3276</v>
      </c>
    </row>
    <row r="102" spans="1:6" ht="28" x14ac:dyDescent="0.3">
      <c r="A102" s="6" t="s">
        <v>8</v>
      </c>
      <c r="B102" s="6" t="s">
        <v>25</v>
      </c>
      <c r="C102" s="6">
        <v>2014</v>
      </c>
      <c r="D102" s="6" t="s">
        <v>0</v>
      </c>
      <c r="E102" s="6" t="s">
        <v>4</v>
      </c>
      <c r="F102" s="7">
        <v>109</v>
      </c>
    </row>
    <row r="103" spans="1:6" ht="28" x14ac:dyDescent="0.3">
      <c r="A103" s="6" t="s">
        <v>9</v>
      </c>
      <c r="B103" s="6" t="s">
        <v>26</v>
      </c>
      <c r="C103" s="6">
        <v>2014</v>
      </c>
      <c r="D103" s="6" t="s">
        <v>0</v>
      </c>
      <c r="E103" s="6" t="s">
        <v>4</v>
      </c>
      <c r="F103" s="7">
        <v>33</v>
      </c>
    </row>
    <row r="104" spans="1:6" ht="28" x14ac:dyDescent="0.3">
      <c r="A104" s="6" t="s">
        <v>9</v>
      </c>
      <c r="B104" s="6" t="s">
        <v>35</v>
      </c>
      <c r="C104" s="6">
        <v>2014</v>
      </c>
      <c r="D104" s="6" t="s">
        <v>0</v>
      </c>
      <c r="E104" s="6" t="s">
        <v>4</v>
      </c>
      <c r="F104" s="7">
        <v>18</v>
      </c>
    </row>
    <row r="105" spans="1:6" ht="28" x14ac:dyDescent="0.3">
      <c r="A105" s="6" t="s">
        <v>9</v>
      </c>
      <c r="B105" s="6" t="s">
        <v>36</v>
      </c>
      <c r="C105" s="6">
        <v>2014</v>
      </c>
      <c r="D105" s="6" t="s">
        <v>0</v>
      </c>
      <c r="E105" s="6" t="s">
        <v>4</v>
      </c>
      <c r="F105" s="7">
        <v>38</v>
      </c>
    </row>
    <row r="106" spans="1:6" ht="28" x14ac:dyDescent="0.3">
      <c r="A106" s="6" t="s">
        <v>9</v>
      </c>
      <c r="B106" s="6" t="s">
        <v>37</v>
      </c>
      <c r="C106" s="6">
        <v>2014</v>
      </c>
      <c r="D106" s="6" t="s">
        <v>0</v>
      </c>
      <c r="E106" s="6" t="s">
        <v>4</v>
      </c>
      <c r="F106" s="7">
        <v>28</v>
      </c>
    </row>
    <row r="107" spans="1:6" ht="28" x14ac:dyDescent="0.3">
      <c r="A107" s="6" t="s">
        <v>9</v>
      </c>
      <c r="B107" s="6" t="s">
        <v>38</v>
      </c>
      <c r="C107" s="6">
        <v>2014</v>
      </c>
      <c r="D107" s="6" t="s">
        <v>0</v>
      </c>
      <c r="E107" s="6" t="s">
        <v>4</v>
      </c>
      <c r="F107" s="7">
        <v>1190</v>
      </c>
    </row>
    <row r="108" spans="1:6" ht="28" x14ac:dyDescent="0.3">
      <c r="A108" s="6" t="s">
        <v>9</v>
      </c>
      <c r="B108" s="6" t="s">
        <v>39</v>
      </c>
      <c r="C108" s="6">
        <v>2014</v>
      </c>
      <c r="D108" s="6" t="s">
        <v>0</v>
      </c>
      <c r="E108" s="6" t="s">
        <v>4</v>
      </c>
      <c r="F108" s="7">
        <v>15</v>
      </c>
    </row>
    <row r="109" spans="1:6" ht="28" x14ac:dyDescent="0.3">
      <c r="A109" s="6" t="s">
        <v>9</v>
      </c>
      <c r="B109" s="6" t="s">
        <v>40</v>
      </c>
      <c r="C109" s="6">
        <v>2014</v>
      </c>
      <c r="D109" s="6" t="s">
        <v>0</v>
      </c>
      <c r="E109" s="6" t="s">
        <v>4</v>
      </c>
      <c r="F109" s="7">
        <v>47</v>
      </c>
    </row>
    <row r="110" spans="1:6" ht="28" x14ac:dyDescent="0.3">
      <c r="A110" s="6" t="s">
        <v>9</v>
      </c>
      <c r="B110" s="6" t="s">
        <v>41</v>
      </c>
      <c r="C110" s="6">
        <v>2014</v>
      </c>
      <c r="D110" s="6" t="s">
        <v>0</v>
      </c>
      <c r="E110" s="6" t="s">
        <v>4</v>
      </c>
      <c r="F110" s="7">
        <v>1851</v>
      </c>
    </row>
    <row r="111" spans="1:6" ht="28" x14ac:dyDescent="0.3">
      <c r="A111" s="6" t="s">
        <v>9</v>
      </c>
      <c r="B111" s="6" t="s">
        <v>42</v>
      </c>
      <c r="C111" s="6">
        <v>2014</v>
      </c>
      <c r="D111" s="6" t="s">
        <v>0</v>
      </c>
      <c r="E111" s="6" t="s">
        <v>4</v>
      </c>
      <c r="F111" s="7">
        <v>2247</v>
      </c>
    </row>
    <row r="112" spans="1:6" ht="28" x14ac:dyDescent="0.3">
      <c r="A112" s="6" t="s">
        <v>9</v>
      </c>
      <c r="B112" s="6" t="s">
        <v>43</v>
      </c>
      <c r="C112" s="6">
        <v>2014</v>
      </c>
      <c r="D112" s="6" t="s">
        <v>0</v>
      </c>
      <c r="E112" s="6" t="s">
        <v>4</v>
      </c>
      <c r="F112" s="7">
        <v>1191</v>
      </c>
    </row>
    <row r="113" spans="1:6" ht="28" x14ac:dyDescent="0.3">
      <c r="A113" s="6" t="s">
        <v>9</v>
      </c>
      <c r="B113" s="6" t="s">
        <v>44</v>
      </c>
      <c r="C113" s="6">
        <v>2014</v>
      </c>
      <c r="D113" s="6" t="s">
        <v>0</v>
      </c>
      <c r="E113" s="6" t="s">
        <v>4</v>
      </c>
      <c r="F113" s="7">
        <v>317</v>
      </c>
    </row>
    <row r="114" spans="1:6" ht="28" x14ac:dyDescent="0.3">
      <c r="A114" s="6" t="s">
        <v>9</v>
      </c>
      <c r="B114" s="6" t="s">
        <v>27</v>
      </c>
      <c r="C114" s="6">
        <v>2014</v>
      </c>
      <c r="D114" s="6" t="s">
        <v>0</v>
      </c>
      <c r="E114" s="6" t="s">
        <v>4</v>
      </c>
      <c r="F114" s="7">
        <v>99</v>
      </c>
    </row>
    <row r="115" spans="1:6" ht="28" x14ac:dyDescent="0.3">
      <c r="A115" s="6" t="s">
        <v>9</v>
      </c>
      <c r="B115" s="6" t="s">
        <v>45</v>
      </c>
      <c r="C115" s="6">
        <v>2014</v>
      </c>
      <c r="D115" s="6" t="s">
        <v>0</v>
      </c>
      <c r="E115" s="6" t="s">
        <v>4</v>
      </c>
      <c r="F115" s="7">
        <v>6</v>
      </c>
    </row>
    <row r="116" spans="1:6" ht="28" x14ac:dyDescent="0.3">
      <c r="A116" s="6" t="s">
        <v>9</v>
      </c>
      <c r="B116" s="6" t="s">
        <v>46</v>
      </c>
      <c r="C116" s="6">
        <v>2014</v>
      </c>
      <c r="D116" s="6" t="s">
        <v>0</v>
      </c>
      <c r="E116" s="6" t="s">
        <v>4</v>
      </c>
      <c r="F116" s="7">
        <v>787</v>
      </c>
    </row>
    <row r="117" spans="1:6" ht="28" x14ac:dyDescent="0.3">
      <c r="A117" s="6" t="s">
        <v>9</v>
      </c>
      <c r="B117" s="6" t="s">
        <v>47</v>
      </c>
      <c r="C117" s="6">
        <v>2014</v>
      </c>
      <c r="D117" s="6" t="s">
        <v>0</v>
      </c>
      <c r="E117" s="6" t="s">
        <v>4</v>
      </c>
      <c r="F117" s="7">
        <v>227</v>
      </c>
    </row>
    <row r="118" spans="1:6" ht="28" x14ac:dyDescent="0.3">
      <c r="A118" s="6" t="s">
        <v>9</v>
      </c>
      <c r="B118" s="6" t="s">
        <v>48</v>
      </c>
      <c r="C118" s="6">
        <v>2014</v>
      </c>
      <c r="D118" s="6" t="s">
        <v>0</v>
      </c>
      <c r="E118" s="6" t="s">
        <v>4</v>
      </c>
      <c r="F118" s="7">
        <v>534</v>
      </c>
    </row>
    <row r="119" spans="1:6" ht="28" x14ac:dyDescent="0.3">
      <c r="A119" s="6" t="s">
        <v>9</v>
      </c>
      <c r="B119" s="6" t="s">
        <v>49</v>
      </c>
      <c r="C119" s="6">
        <v>2014</v>
      </c>
      <c r="D119" s="6" t="s">
        <v>0</v>
      </c>
      <c r="E119" s="6" t="s">
        <v>4</v>
      </c>
      <c r="F119" s="7">
        <v>999</v>
      </c>
    </row>
    <row r="120" spans="1:6" ht="28" x14ac:dyDescent="0.3">
      <c r="A120" s="6" t="s">
        <v>9</v>
      </c>
      <c r="B120" s="6" t="s">
        <v>50</v>
      </c>
      <c r="C120" s="6">
        <v>2014</v>
      </c>
      <c r="D120" s="6" t="s">
        <v>0</v>
      </c>
      <c r="E120" s="6" t="s">
        <v>4</v>
      </c>
      <c r="F120" s="7">
        <v>897</v>
      </c>
    </row>
    <row r="121" spans="1:6" ht="28" x14ac:dyDescent="0.3">
      <c r="A121" s="6" t="s">
        <v>9</v>
      </c>
      <c r="B121" s="6" t="s">
        <v>51</v>
      </c>
      <c r="C121" s="6">
        <v>2014</v>
      </c>
      <c r="D121" s="6" t="s">
        <v>0</v>
      </c>
      <c r="E121" s="6" t="s">
        <v>4</v>
      </c>
      <c r="F121" s="7">
        <v>2229</v>
      </c>
    </row>
    <row r="122" spans="1:6" ht="28" x14ac:dyDescent="0.3">
      <c r="A122" s="6" t="s">
        <v>9</v>
      </c>
      <c r="B122" s="6" t="s">
        <v>52</v>
      </c>
      <c r="C122" s="6">
        <v>2014</v>
      </c>
      <c r="D122" s="6" t="s">
        <v>0</v>
      </c>
      <c r="E122" s="6" t="s">
        <v>4</v>
      </c>
      <c r="F122" s="7">
        <v>2561</v>
      </c>
    </row>
    <row r="123" spans="1:6" ht="28" x14ac:dyDescent="0.3">
      <c r="A123" s="6" t="s">
        <v>9</v>
      </c>
      <c r="B123" s="6" t="s">
        <v>53</v>
      </c>
      <c r="C123" s="6">
        <v>2014</v>
      </c>
      <c r="D123" s="6" t="s">
        <v>0</v>
      </c>
      <c r="E123" s="6" t="s">
        <v>4</v>
      </c>
      <c r="F123" s="7">
        <v>2194</v>
      </c>
    </row>
    <row r="124" spans="1:6" ht="28" x14ac:dyDescent="0.3">
      <c r="A124" s="6" t="s">
        <v>9</v>
      </c>
      <c r="B124" s="6" t="s">
        <v>54</v>
      </c>
      <c r="C124" s="6">
        <v>2014</v>
      </c>
      <c r="D124" s="6" t="s">
        <v>0</v>
      </c>
      <c r="E124" s="6" t="s">
        <v>4</v>
      </c>
      <c r="F124" s="7">
        <v>336</v>
      </c>
    </row>
    <row r="125" spans="1:6" ht="28" x14ac:dyDescent="0.3">
      <c r="A125" s="6" t="s">
        <v>9</v>
      </c>
      <c r="B125" s="6" t="s">
        <v>28</v>
      </c>
      <c r="C125" s="6">
        <v>2014</v>
      </c>
      <c r="D125" s="6" t="s">
        <v>0</v>
      </c>
      <c r="E125" s="6" t="s">
        <v>4</v>
      </c>
      <c r="F125" s="7">
        <v>3042</v>
      </c>
    </row>
    <row r="126" spans="1:6" ht="28" x14ac:dyDescent="0.3">
      <c r="A126" s="6" t="s">
        <v>9</v>
      </c>
      <c r="B126" s="6" t="s">
        <v>55</v>
      </c>
      <c r="C126" s="6">
        <v>2014</v>
      </c>
      <c r="D126" s="6" t="s">
        <v>0</v>
      </c>
      <c r="E126" s="6" t="s">
        <v>4</v>
      </c>
      <c r="F126" s="7">
        <v>868</v>
      </c>
    </row>
    <row r="127" spans="1:6" ht="28" x14ac:dyDescent="0.3">
      <c r="A127" s="6" t="s">
        <v>9</v>
      </c>
      <c r="B127" s="6" t="s">
        <v>56</v>
      </c>
      <c r="C127" s="6">
        <v>2014</v>
      </c>
      <c r="D127" s="6" t="s">
        <v>0</v>
      </c>
      <c r="E127" s="6" t="s">
        <v>4</v>
      </c>
      <c r="F127" s="7">
        <v>2635</v>
      </c>
    </row>
    <row r="128" spans="1:6" ht="28" x14ac:dyDescent="0.3">
      <c r="A128" s="6" t="s">
        <v>9</v>
      </c>
      <c r="B128" s="6" t="s">
        <v>57</v>
      </c>
      <c r="C128" s="6">
        <v>2014</v>
      </c>
      <c r="D128" s="6" t="s">
        <v>0</v>
      </c>
      <c r="E128" s="6" t="s">
        <v>4</v>
      </c>
      <c r="F128" s="7">
        <v>1111</v>
      </c>
    </row>
    <row r="129" spans="1:6" ht="28" x14ac:dyDescent="0.3">
      <c r="A129" s="6" t="s">
        <v>9</v>
      </c>
      <c r="B129" s="6" t="s">
        <v>58</v>
      </c>
      <c r="C129" s="6">
        <v>2014</v>
      </c>
      <c r="D129" s="6" t="s">
        <v>0</v>
      </c>
      <c r="E129" s="6" t="s">
        <v>4</v>
      </c>
      <c r="F129" s="7">
        <v>2571</v>
      </c>
    </row>
    <row r="130" spans="1:6" ht="28" x14ac:dyDescent="0.3">
      <c r="A130" s="6" t="s">
        <v>9</v>
      </c>
      <c r="B130" s="6" t="s">
        <v>29</v>
      </c>
      <c r="C130" s="6">
        <v>2014</v>
      </c>
      <c r="D130" s="6" t="s">
        <v>0</v>
      </c>
      <c r="E130" s="6" t="s">
        <v>4</v>
      </c>
      <c r="F130" s="7">
        <v>9</v>
      </c>
    </row>
    <row r="131" spans="1:6" ht="28" x14ac:dyDescent="0.3">
      <c r="A131" s="6" t="s">
        <v>9</v>
      </c>
      <c r="B131" s="6" t="s">
        <v>30</v>
      </c>
      <c r="C131" s="6">
        <v>2014</v>
      </c>
      <c r="D131" s="6" t="s">
        <v>0</v>
      </c>
      <c r="E131" s="6" t="s">
        <v>4</v>
      </c>
      <c r="F131" s="7">
        <v>30</v>
      </c>
    </row>
    <row r="132" spans="1:6" ht="28" x14ac:dyDescent="0.3">
      <c r="A132" s="6" t="s">
        <v>9</v>
      </c>
      <c r="B132" s="6" t="s">
        <v>31</v>
      </c>
      <c r="C132" s="6">
        <v>2014</v>
      </c>
      <c r="D132" s="6" t="s">
        <v>0</v>
      </c>
      <c r="E132" s="6" t="s">
        <v>4</v>
      </c>
      <c r="F132" s="7">
        <v>1121</v>
      </c>
    </row>
    <row r="133" spans="1:6" ht="28" x14ac:dyDescent="0.3">
      <c r="A133" s="6" t="s">
        <v>9</v>
      </c>
      <c r="B133" s="6" t="s">
        <v>32</v>
      </c>
      <c r="C133" s="6">
        <v>2014</v>
      </c>
      <c r="D133" s="6" t="s">
        <v>0</v>
      </c>
      <c r="E133" s="6" t="s">
        <v>4</v>
      </c>
      <c r="F133" s="7">
        <v>27</v>
      </c>
    </row>
    <row r="134" spans="1:6" ht="28" x14ac:dyDescent="0.3">
      <c r="A134" s="6" t="s">
        <v>9</v>
      </c>
      <c r="B134" s="6" t="s">
        <v>33</v>
      </c>
      <c r="C134" s="6">
        <v>2014</v>
      </c>
      <c r="D134" s="6" t="s">
        <v>0</v>
      </c>
      <c r="E134" s="6" t="s">
        <v>4</v>
      </c>
      <c r="F134" s="7">
        <v>275</v>
      </c>
    </row>
    <row r="135" spans="1:6" ht="28" x14ac:dyDescent="0.3">
      <c r="A135" s="6" t="s">
        <v>9</v>
      </c>
      <c r="B135" s="6" t="s">
        <v>34</v>
      </c>
      <c r="C135" s="6">
        <v>2014</v>
      </c>
      <c r="D135" s="6" t="s">
        <v>0</v>
      </c>
      <c r="E135" s="6" t="s">
        <v>4</v>
      </c>
      <c r="F135" s="7">
        <v>146</v>
      </c>
    </row>
    <row r="136" spans="1:6" ht="28" x14ac:dyDescent="0.3">
      <c r="A136" s="6" t="s">
        <v>10</v>
      </c>
      <c r="B136" s="6" t="s">
        <v>59</v>
      </c>
      <c r="C136" s="6">
        <v>2014</v>
      </c>
      <c r="D136" s="6" t="s">
        <v>0</v>
      </c>
      <c r="E136" s="6" t="s">
        <v>4</v>
      </c>
      <c r="F136" s="7">
        <v>2502</v>
      </c>
    </row>
    <row r="137" spans="1:6" ht="28" x14ac:dyDescent="0.3">
      <c r="A137" s="6" t="s">
        <v>10</v>
      </c>
      <c r="B137" s="6" t="s">
        <v>60</v>
      </c>
      <c r="C137" s="6">
        <v>2014</v>
      </c>
      <c r="D137" s="6" t="s">
        <v>0</v>
      </c>
      <c r="E137" s="6" t="s">
        <v>4</v>
      </c>
      <c r="F137" s="7">
        <v>460</v>
      </c>
    </row>
    <row r="138" spans="1:6" ht="28" x14ac:dyDescent="0.3">
      <c r="A138" s="6" t="s">
        <v>10</v>
      </c>
      <c r="B138" s="6" t="s">
        <v>61</v>
      </c>
      <c r="C138" s="6">
        <v>2014</v>
      </c>
      <c r="D138" s="6" t="s">
        <v>0</v>
      </c>
      <c r="E138" s="6" t="s">
        <v>4</v>
      </c>
      <c r="F138" s="7">
        <v>306</v>
      </c>
    </row>
    <row r="139" spans="1:6" ht="28" x14ac:dyDescent="0.3">
      <c r="A139" s="6" t="s">
        <v>10</v>
      </c>
      <c r="B139" s="6" t="s">
        <v>62</v>
      </c>
      <c r="C139" s="6">
        <v>2014</v>
      </c>
      <c r="D139" s="6" t="s">
        <v>0</v>
      </c>
      <c r="E139" s="6" t="s">
        <v>4</v>
      </c>
      <c r="F139" s="7">
        <v>42</v>
      </c>
    </row>
    <row r="140" spans="1:6" ht="28" x14ac:dyDescent="0.3">
      <c r="A140" s="6" t="s">
        <v>10</v>
      </c>
      <c r="B140" s="6" t="s">
        <v>63</v>
      </c>
      <c r="C140" s="6">
        <v>2014</v>
      </c>
      <c r="D140" s="6" t="s">
        <v>0</v>
      </c>
      <c r="E140" s="6" t="s">
        <v>4</v>
      </c>
      <c r="F140" s="7">
        <v>389</v>
      </c>
    </row>
    <row r="141" spans="1:6" ht="28" x14ac:dyDescent="0.3">
      <c r="A141" s="6" t="s">
        <v>10</v>
      </c>
      <c r="B141" s="6" t="s">
        <v>64</v>
      </c>
      <c r="C141" s="6">
        <v>2014</v>
      </c>
      <c r="D141" s="6" t="s">
        <v>0</v>
      </c>
      <c r="E141" s="6" t="s">
        <v>4</v>
      </c>
      <c r="F141" s="7">
        <v>66</v>
      </c>
    </row>
    <row r="142" spans="1:6" ht="28" x14ac:dyDescent="0.3">
      <c r="A142" s="6" t="s">
        <v>10</v>
      </c>
      <c r="B142" s="6" t="s">
        <v>65</v>
      </c>
      <c r="C142" s="6">
        <v>2014</v>
      </c>
      <c r="D142" s="6" t="s">
        <v>0</v>
      </c>
      <c r="E142" s="6" t="s">
        <v>4</v>
      </c>
      <c r="F142" s="7">
        <v>7875</v>
      </c>
    </row>
    <row r="143" spans="1:6" ht="28" x14ac:dyDescent="0.3">
      <c r="A143" s="6" t="s">
        <v>10</v>
      </c>
      <c r="B143" s="6" t="s">
        <v>66</v>
      </c>
      <c r="C143" s="6">
        <v>2014</v>
      </c>
      <c r="D143" s="6" t="s">
        <v>0</v>
      </c>
      <c r="E143" s="6" t="s">
        <v>4</v>
      </c>
      <c r="F143" s="7">
        <v>444</v>
      </c>
    </row>
    <row r="144" spans="1:6" ht="28" x14ac:dyDescent="0.3">
      <c r="A144" s="6" t="s">
        <v>11</v>
      </c>
      <c r="B144" s="6" t="s">
        <v>67</v>
      </c>
      <c r="C144" s="6">
        <v>2014</v>
      </c>
      <c r="D144" s="6" t="s">
        <v>0</v>
      </c>
      <c r="E144" s="6" t="s">
        <v>4</v>
      </c>
      <c r="F144" s="7">
        <v>102</v>
      </c>
    </row>
    <row r="145" spans="1:6" ht="28" x14ac:dyDescent="0.3">
      <c r="A145" s="6" t="s">
        <v>11</v>
      </c>
      <c r="B145" s="6" t="s">
        <v>76</v>
      </c>
      <c r="C145" s="6">
        <v>2014</v>
      </c>
      <c r="D145" s="6" t="s">
        <v>0</v>
      </c>
      <c r="E145" s="6" t="s">
        <v>4</v>
      </c>
      <c r="F145" s="7">
        <v>273</v>
      </c>
    </row>
    <row r="146" spans="1:6" ht="28" x14ac:dyDescent="0.3">
      <c r="A146" s="6" t="s">
        <v>11</v>
      </c>
      <c r="B146" s="6" t="s">
        <v>77</v>
      </c>
      <c r="C146" s="6">
        <v>2014</v>
      </c>
      <c r="D146" s="6" t="s">
        <v>0</v>
      </c>
      <c r="E146" s="6" t="s">
        <v>4</v>
      </c>
      <c r="F146" s="7">
        <v>613</v>
      </c>
    </row>
    <row r="147" spans="1:6" ht="28" x14ac:dyDescent="0.3">
      <c r="A147" s="6" t="s">
        <v>11</v>
      </c>
      <c r="B147" s="6" t="s">
        <v>78</v>
      </c>
      <c r="C147" s="6">
        <v>2014</v>
      </c>
      <c r="D147" s="6" t="s">
        <v>0</v>
      </c>
      <c r="E147" s="6" t="s">
        <v>4</v>
      </c>
      <c r="F147" s="7">
        <v>156</v>
      </c>
    </row>
    <row r="148" spans="1:6" ht="28" x14ac:dyDescent="0.3">
      <c r="A148" s="6" t="s">
        <v>11</v>
      </c>
      <c r="B148" s="6" t="s">
        <v>79</v>
      </c>
      <c r="C148" s="6">
        <v>2014</v>
      </c>
      <c r="D148" s="6" t="s">
        <v>0</v>
      </c>
      <c r="E148" s="6" t="s">
        <v>4</v>
      </c>
      <c r="F148" s="7">
        <v>64</v>
      </c>
    </row>
    <row r="149" spans="1:6" ht="28" x14ac:dyDescent="0.3">
      <c r="A149" s="6" t="s">
        <v>11</v>
      </c>
      <c r="B149" s="6" t="s">
        <v>80</v>
      </c>
      <c r="C149" s="6">
        <v>2014</v>
      </c>
      <c r="D149" s="6" t="s">
        <v>0</v>
      </c>
      <c r="E149" s="6" t="s">
        <v>4</v>
      </c>
      <c r="F149" s="7">
        <v>88</v>
      </c>
    </row>
    <row r="150" spans="1:6" ht="28" x14ac:dyDescent="0.3">
      <c r="A150" s="6" t="s">
        <v>11</v>
      </c>
      <c r="B150" s="6" t="s">
        <v>68</v>
      </c>
      <c r="C150" s="6">
        <v>2014</v>
      </c>
      <c r="D150" s="6" t="s">
        <v>0</v>
      </c>
      <c r="E150" s="6" t="s">
        <v>4</v>
      </c>
      <c r="F150" s="7">
        <v>109</v>
      </c>
    </row>
    <row r="151" spans="1:6" ht="28" x14ac:dyDescent="0.3">
      <c r="A151" s="6" t="s">
        <v>11</v>
      </c>
      <c r="B151" s="6" t="s">
        <v>69</v>
      </c>
      <c r="C151" s="6">
        <v>2014</v>
      </c>
      <c r="D151" s="6" t="s">
        <v>0</v>
      </c>
      <c r="E151" s="6" t="s">
        <v>4</v>
      </c>
      <c r="F151" s="7">
        <v>6472</v>
      </c>
    </row>
    <row r="152" spans="1:6" ht="28" x14ac:dyDescent="0.3">
      <c r="A152" s="6" t="s">
        <v>11</v>
      </c>
      <c r="B152" s="6" t="s">
        <v>70</v>
      </c>
      <c r="C152" s="6">
        <v>2014</v>
      </c>
      <c r="D152" s="6" t="s">
        <v>0</v>
      </c>
      <c r="E152" s="6" t="s">
        <v>4</v>
      </c>
      <c r="F152" s="7">
        <v>3823</v>
      </c>
    </row>
    <row r="153" spans="1:6" ht="28" x14ac:dyDescent="0.3">
      <c r="A153" s="6" t="s">
        <v>11</v>
      </c>
      <c r="B153" s="6" t="s">
        <v>71</v>
      </c>
      <c r="C153" s="6">
        <v>2014</v>
      </c>
      <c r="D153" s="6" t="s">
        <v>0</v>
      </c>
      <c r="E153" s="6" t="s">
        <v>4</v>
      </c>
      <c r="F153" s="7">
        <v>7</v>
      </c>
    </row>
    <row r="154" spans="1:6" ht="28" x14ac:dyDescent="0.3">
      <c r="A154" s="6" t="s">
        <v>11</v>
      </c>
      <c r="B154" s="6" t="s">
        <v>72</v>
      </c>
      <c r="C154" s="6">
        <v>2014</v>
      </c>
      <c r="D154" s="6" t="s">
        <v>0</v>
      </c>
      <c r="E154" s="6" t="s">
        <v>4</v>
      </c>
      <c r="F154" s="7">
        <v>275</v>
      </c>
    </row>
    <row r="155" spans="1:6" ht="28" x14ac:dyDescent="0.3">
      <c r="A155" s="6" t="s">
        <v>11</v>
      </c>
      <c r="B155" s="6" t="s">
        <v>73</v>
      </c>
      <c r="C155" s="6">
        <v>2014</v>
      </c>
      <c r="D155" s="6" t="s">
        <v>0</v>
      </c>
      <c r="E155" s="6" t="s">
        <v>4</v>
      </c>
      <c r="F155" s="7">
        <v>117</v>
      </c>
    </row>
    <row r="156" spans="1:6" ht="28" x14ac:dyDescent="0.3">
      <c r="A156" s="6" t="s">
        <v>11</v>
      </c>
      <c r="B156" s="6" t="s">
        <v>74</v>
      </c>
      <c r="C156" s="6">
        <v>2014</v>
      </c>
      <c r="D156" s="6" t="s">
        <v>0</v>
      </c>
      <c r="E156" s="6" t="s">
        <v>4</v>
      </c>
      <c r="F156" s="7">
        <v>62</v>
      </c>
    </row>
    <row r="157" spans="1:6" ht="28" x14ac:dyDescent="0.3">
      <c r="A157" s="6" t="s">
        <v>11</v>
      </c>
      <c r="B157" s="6" t="s">
        <v>75</v>
      </c>
      <c r="C157" s="6">
        <v>2014</v>
      </c>
      <c r="D157" s="6" t="s">
        <v>0</v>
      </c>
      <c r="E157" s="6" t="s">
        <v>4</v>
      </c>
      <c r="F157" s="7">
        <v>14550</v>
      </c>
    </row>
    <row r="158" spans="1:6" ht="28" x14ac:dyDescent="0.3">
      <c r="A158" s="6" t="s">
        <v>12</v>
      </c>
      <c r="B158" s="6" t="s">
        <v>81</v>
      </c>
      <c r="C158" s="6">
        <v>2014</v>
      </c>
      <c r="D158" s="6" t="s">
        <v>0</v>
      </c>
      <c r="E158" s="6" t="s">
        <v>4</v>
      </c>
      <c r="F158" s="7">
        <v>70</v>
      </c>
    </row>
    <row r="159" spans="1:6" ht="28" x14ac:dyDescent="0.3">
      <c r="A159" s="6" t="s">
        <v>12</v>
      </c>
      <c r="B159" s="6" t="s">
        <v>82</v>
      </c>
      <c r="C159" s="6">
        <v>2014</v>
      </c>
      <c r="D159" s="6" t="s">
        <v>0</v>
      </c>
      <c r="E159" s="6" t="s">
        <v>4</v>
      </c>
      <c r="F159" s="7">
        <v>416</v>
      </c>
    </row>
    <row r="160" spans="1:6" ht="28" x14ac:dyDescent="0.3">
      <c r="A160" s="6" t="s">
        <v>12</v>
      </c>
      <c r="B160" s="6" t="s">
        <v>83</v>
      </c>
      <c r="C160" s="6">
        <v>2014</v>
      </c>
      <c r="D160" s="6" t="s">
        <v>0</v>
      </c>
      <c r="E160" s="6" t="s">
        <v>4</v>
      </c>
      <c r="F160" s="7">
        <v>239</v>
      </c>
    </row>
    <row r="161" spans="1:6" ht="28" x14ac:dyDescent="0.3">
      <c r="A161" s="6" t="s">
        <v>12</v>
      </c>
      <c r="B161" s="6" t="s">
        <v>84</v>
      </c>
      <c r="C161" s="6">
        <v>2014</v>
      </c>
      <c r="D161" s="6" t="s">
        <v>0</v>
      </c>
      <c r="E161" s="6" t="s">
        <v>4</v>
      </c>
      <c r="F161" s="7">
        <v>99</v>
      </c>
    </row>
    <row r="162" spans="1:6" ht="28" x14ac:dyDescent="0.3">
      <c r="A162" s="6" t="s">
        <v>12</v>
      </c>
      <c r="B162" s="6" t="s">
        <v>85</v>
      </c>
      <c r="C162" s="6">
        <v>2014</v>
      </c>
      <c r="D162" s="6" t="s">
        <v>0</v>
      </c>
      <c r="E162" s="6" t="s">
        <v>4</v>
      </c>
      <c r="F162" s="7">
        <v>2318</v>
      </c>
    </row>
    <row r="163" spans="1:6" ht="28" x14ac:dyDescent="0.3">
      <c r="A163" s="6" t="s">
        <v>12</v>
      </c>
      <c r="B163" s="6" t="s">
        <v>86</v>
      </c>
      <c r="C163" s="6">
        <v>2014</v>
      </c>
      <c r="D163" s="6" t="s">
        <v>0</v>
      </c>
      <c r="E163" s="6" t="s">
        <v>4</v>
      </c>
      <c r="F163" s="7">
        <v>60</v>
      </c>
    </row>
    <row r="164" spans="1:6" ht="28" x14ac:dyDescent="0.3">
      <c r="A164" s="6" t="s">
        <v>12</v>
      </c>
      <c r="B164" s="6" t="s">
        <v>87</v>
      </c>
      <c r="C164" s="6">
        <v>2014</v>
      </c>
      <c r="D164" s="6" t="s">
        <v>0</v>
      </c>
      <c r="E164" s="6" t="s">
        <v>4</v>
      </c>
      <c r="F164" s="7">
        <v>228</v>
      </c>
    </row>
    <row r="165" spans="1:6" ht="28" x14ac:dyDescent="0.3">
      <c r="A165" s="6" t="s">
        <v>12</v>
      </c>
      <c r="B165" s="6" t="s">
        <v>88</v>
      </c>
      <c r="C165" s="6">
        <v>2014</v>
      </c>
      <c r="D165" s="6" t="s">
        <v>0</v>
      </c>
      <c r="E165" s="6" t="s">
        <v>4</v>
      </c>
      <c r="F165" s="7">
        <v>1977</v>
      </c>
    </row>
    <row r="166" spans="1:6" ht="28" x14ac:dyDescent="0.3">
      <c r="A166" s="6" t="s">
        <v>13</v>
      </c>
      <c r="B166" s="6" t="s">
        <v>89</v>
      </c>
      <c r="C166" s="6">
        <v>2014</v>
      </c>
      <c r="D166" s="6" t="s">
        <v>0</v>
      </c>
      <c r="E166" s="6" t="s">
        <v>4</v>
      </c>
      <c r="F166" s="7">
        <v>17</v>
      </c>
    </row>
    <row r="167" spans="1:6" ht="28" x14ac:dyDescent="0.3">
      <c r="A167" s="6" t="s">
        <v>13</v>
      </c>
      <c r="B167" s="6" t="s">
        <v>98</v>
      </c>
      <c r="C167" s="6">
        <v>2014</v>
      </c>
      <c r="D167" s="6" t="s">
        <v>0</v>
      </c>
      <c r="E167" s="6" t="s">
        <v>4</v>
      </c>
      <c r="F167" s="7">
        <v>21</v>
      </c>
    </row>
    <row r="168" spans="1:6" ht="28" x14ac:dyDescent="0.3">
      <c r="A168" s="6" t="s">
        <v>13</v>
      </c>
      <c r="B168" s="6" t="s">
        <v>99</v>
      </c>
      <c r="C168" s="6">
        <v>2014</v>
      </c>
      <c r="D168" s="6" t="s">
        <v>0</v>
      </c>
      <c r="E168" s="6" t="s">
        <v>4</v>
      </c>
      <c r="F168" s="7">
        <v>40</v>
      </c>
    </row>
    <row r="169" spans="1:6" ht="28" x14ac:dyDescent="0.3">
      <c r="A169" s="6" t="s">
        <v>13</v>
      </c>
      <c r="B169" s="6" t="s">
        <v>90</v>
      </c>
      <c r="C169" s="6">
        <v>2014</v>
      </c>
      <c r="D169" s="6" t="s">
        <v>0</v>
      </c>
      <c r="E169" s="6" t="s">
        <v>4</v>
      </c>
      <c r="F169" s="7">
        <v>185</v>
      </c>
    </row>
    <row r="170" spans="1:6" ht="28" x14ac:dyDescent="0.3">
      <c r="A170" s="6" t="s">
        <v>13</v>
      </c>
      <c r="B170" s="6" t="s">
        <v>91</v>
      </c>
      <c r="C170" s="6">
        <v>2014</v>
      </c>
      <c r="D170" s="6" t="s">
        <v>0</v>
      </c>
      <c r="E170" s="6" t="s">
        <v>4</v>
      </c>
      <c r="F170" s="7">
        <v>37</v>
      </c>
    </row>
    <row r="171" spans="1:6" ht="28" x14ac:dyDescent="0.3">
      <c r="A171" s="6" t="s">
        <v>13</v>
      </c>
      <c r="B171" s="6" t="s">
        <v>92</v>
      </c>
      <c r="C171" s="6">
        <v>2014</v>
      </c>
      <c r="D171" s="6" t="s">
        <v>0</v>
      </c>
      <c r="E171" s="6" t="s">
        <v>4</v>
      </c>
      <c r="F171" s="7">
        <v>54</v>
      </c>
    </row>
    <row r="172" spans="1:6" ht="28" x14ac:dyDescent="0.3">
      <c r="A172" s="6" t="s">
        <v>13</v>
      </c>
      <c r="B172" s="6" t="s">
        <v>93</v>
      </c>
      <c r="C172" s="6">
        <v>2014</v>
      </c>
      <c r="D172" s="6" t="s">
        <v>0</v>
      </c>
      <c r="E172" s="6" t="s">
        <v>4</v>
      </c>
      <c r="F172" s="7">
        <v>23</v>
      </c>
    </row>
    <row r="173" spans="1:6" ht="28" x14ac:dyDescent="0.3">
      <c r="A173" s="6" t="s">
        <v>13</v>
      </c>
      <c r="B173" s="6" t="s">
        <v>94</v>
      </c>
      <c r="C173" s="6">
        <v>2014</v>
      </c>
      <c r="D173" s="6" t="s">
        <v>0</v>
      </c>
      <c r="E173" s="6" t="s">
        <v>4</v>
      </c>
      <c r="F173" s="7">
        <v>6</v>
      </c>
    </row>
    <row r="174" spans="1:6" ht="28" x14ac:dyDescent="0.3">
      <c r="A174" s="6" t="s">
        <v>13</v>
      </c>
      <c r="B174" s="6" t="s">
        <v>95</v>
      </c>
      <c r="C174" s="6">
        <v>2014</v>
      </c>
      <c r="D174" s="6" t="s">
        <v>0</v>
      </c>
      <c r="E174" s="6" t="s">
        <v>4</v>
      </c>
      <c r="F174" s="7">
        <v>30</v>
      </c>
    </row>
    <row r="175" spans="1:6" ht="28" x14ac:dyDescent="0.3">
      <c r="A175" s="6" t="s">
        <v>13</v>
      </c>
      <c r="B175" s="6" t="s">
        <v>96</v>
      </c>
      <c r="C175" s="6">
        <v>2014</v>
      </c>
      <c r="D175" s="6" t="s">
        <v>0</v>
      </c>
      <c r="E175" s="6" t="s">
        <v>4</v>
      </c>
      <c r="F175" s="7">
        <v>325</v>
      </c>
    </row>
    <row r="176" spans="1:6" ht="28" x14ac:dyDescent="0.3">
      <c r="A176" s="6" t="s">
        <v>13</v>
      </c>
      <c r="B176" s="6" t="s">
        <v>97</v>
      </c>
      <c r="C176" s="6">
        <v>2014</v>
      </c>
      <c r="D176" s="6" t="s">
        <v>0</v>
      </c>
      <c r="E176" s="6" t="s">
        <v>4</v>
      </c>
      <c r="F176" s="7">
        <v>63</v>
      </c>
    </row>
    <row r="177" spans="1:6" ht="28" x14ac:dyDescent="0.3">
      <c r="A177" s="6" t="s">
        <v>14</v>
      </c>
      <c r="B177" s="6" t="s">
        <v>100</v>
      </c>
      <c r="C177" s="6">
        <v>2014</v>
      </c>
      <c r="D177" s="6" t="s">
        <v>0</v>
      </c>
      <c r="E177" s="6" t="s">
        <v>4</v>
      </c>
      <c r="F177" s="7">
        <v>1593</v>
      </c>
    </row>
    <row r="178" spans="1:6" ht="28" x14ac:dyDescent="0.3">
      <c r="A178" s="6" t="s">
        <v>14</v>
      </c>
      <c r="B178" s="6" t="s">
        <v>101</v>
      </c>
      <c r="C178" s="6">
        <v>2014</v>
      </c>
      <c r="D178" s="6" t="s">
        <v>0</v>
      </c>
      <c r="E178" s="6" t="s">
        <v>4</v>
      </c>
      <c r="F178" s="7">
        <v>260</v>
      </c>
    </row>
    <row r="179" spans="1:6" ht="28" x14ac:dyDescent="0.3">
      <c r="A179" s="6" t="s">
        <v>14</v>
      </c>
      <c r="B179" s="6" t="s">
        <v>102</v>
      </c>
      <c r="C179" s="6">
        <v>2014</v>
      </c>
      <c r="D179" s="6" t="s">
        <v>0</v>
      </c>
      <c r="E179" s="6" t="s">
        <v>4</v>
      </c>
      <c r="F179" s="7">
        <v>4586</v>
      </c>
    </row>
    <row r="180" spans="1:6" ht="28" x14ac:dyDescent="0.3">
      <c r="A180" s="6" t="s">
        <v>14</v>
      </c>
      <c r="B180" s="6" t="s">
        <v>103</v>
      </c>
      <c r="C180" s="6">
        <v>2014</v>
      </c>
      <c r="D180" s="6" t="s">
        <v>0</v>
      </c>
      <c r="E180" s="6" t="s">
        <v>4</v>
      </c>
      <c r="F180" s="7">
        <v>4447</v>
      </c>
    </row>
    <row r="181" spans="1:6" ht="28" x14ac:dyDescent="0.3">
      <c r="A181" s="6" t="s">
        <v>14</v>
      </c>
      <c r="B181" s="6" t="s">
        <v>104</v>
      </c>
      <c r="C181" s="6">
        <v>2014</v>
      </c>
      <c r="D181" s="6" t="s">
        <v>0</v>
      </c>
      <c r="E181" s="6" t="s">
        <v>4</v>
      </c>
      <c r="F181" s="7">
        <v>8920</v>
      </c>
    </row>
    <row r="182" spans="1:6" ht="28" x14ac:dyDescent="0.3">
      <c r="A182" s="6" t="s">
        <v>14</v>
      </c>
      <c r="B182" s="6" t="s">
        <v>105</v>
      </c>
      <c r="C182" s="6">
        <v>2014</v>
      </c>
      <c r="D182" s="6" t="s">
        <v>0</v>
      </c>
      <c r="E182" s="6" t="s">
        <v>4</v>
      </c>
      <c r="F182" s="7">
        <v>1823</v>
      </c>
    </row>
    <row r="183" spans="1:6" ht="28" x14ac:dyDescent="0.3">
      <c r="A183" s="6" t="s">
        <v>15</v>
      </c>
      <c r="B183" s="6" t="s">
        <v>106</v>
      </c>
      <c r="C183" s="6">
        <v>2014</v>
      </c>
      <c r="D183" s="6" t="s">
        <v>0</v>
      </c>
      <c r="E183" s="6" t="s">
        <v>4</v>
      </c>
      <c r="F183" s="7">
        <v>175</v>
      </c>
    </row>
    <row r="184" spans="1:6" ht="28" x14ac:dyDescent="0.3">
      <c r="A184" s="6" t="s">
        <v>15</v>
      </c>
      <c r="B184" s="6" t="s">
        <v>107</v>
      </c>
      <c r="C184" s="6">
        <v>2014</v>
      </c>
      <c r="D184" s="6" t="s">
        <v>0</v>
      </c>
      <c r="E184" s="6" t="s">
        <v>4</v>
      </c>
      <c r="F184" s="7">
        <v>272</v>
      </c>
    </row>
    <row r="185" spans="1:6" ht="28" x14ac:dyDescent="0.3">
      <c r="A185" s="6" t="s">
        <v>15</v>
      </c>
      <c r="B185" s="6" t="s">
        <v>108</v>
      </c>
      <c r="C185" s="6">
        <v>2014</v>
      </c>
      <c r="D185" s="6" t="s">
        <v>0</v>
      </c>
      <c r="E185" s="6" t="s">
        <v>4</v>
      </c>
      <c r="F185" s="7">
        <v>249</v>
      </c>
    </row>
    <row r="186" spans="1:6" ht="28" x14ac:dyDescent="0.3">
      <c r="A186" s="6" t="s">
        <v>6</v>
      </c>
      <c r="B186" s="6" t="s">
        <v>17</v>
      </c>
      <c r="C186" s="6">
        <v>2014</v>
      </c>
      <c r="D186" s="6" t="s">
        <v>1</v>
      </c>
      <c r="E186" s="6" t="s">
        <v>5</v>
      </c>
      <c r="F186" s="7">
        <v>48</v>
      </c>
    </row>
    <row r="187" spans="1:6" ht="28" x14ac:dyDescent="0.3">
      <c r="A187" s="6" t="s">
        <v>6</v>
      </c>
      <c r="B187" s="6" t="s">
        <v>18</v>
      </c>
      <c r="C187" s="6">
        <v>2014</v>
      </c>
      <c r="D187" s="6" t="s">
        <v>1</v>
      </c>
      <c r="E187" s="6" t="s">
        <v>5</v>
      </c>
      <c r="F187" s="7">
        <v>764</v>
      </c>
    </row>
    <row r="188" spans="1:6" ht="28" x14ac:dyDescent="0.3">
      <c r="A188" s="6" t="s">
        <v>6</v>
      </c>
      <c r="B188" s="6" t="s">
        <v>19</v>
      </c>
      <c r="C188" s="6">
        <v>2014</v>
      </c>
      <c r="D188" s="6" t="s">
        <v>1</v>
      </c>
      <c r="E188" s="6" t="s">
        <v>5</v>
      </c>
      <c r="F188" s="7">
        <v>18410</v>
      </c>
    </row>
    <row r="189" spans="1:6" ht="28" x14ac:dyDescent="0.3">
      <c r="A189" s="6" t="s">
        <v>6</v>
      </c>
      <c r="B189" s="6" t="s">
        <v>20</v>
      </c>
      <c r="C189" s="6">
        <v>2014</v>
      </c>
      <c r="D189" s="6" t="s">
        <v>1</v>
      </c>
      <c r="E189" s="6" t="s">
        <v>5</v>
      </c>
      <c r="F189" s="7">
        <v>16327</v>
      </c>
    </row>
    <row r="190" spans="1:6" ht="28" x14ac:dyDescent="0.3">
      <c r="A190" s="6" t="s">
        <v>7</v>
      </c>
      <c r="B190" s="6" t="s">
        <v>21</v>
      </c>
      <c r="C190" s="6">
        <v>2014</v>
      </c>
      <c r="D190" s="6" t="s">
        <v>1</v>
      </c>
      <c r="E190" s="6" t="s">
        <v>5</v>
      </c>
      <c r="F190" s="7">
        <v>5794</v>
      </c>
    </row>
    <row r="191" spans="1:6" ht="28" x14ac:dyDescent="0.3">
      <c r="A191" s="6" t="s">
        <v>7</v>
      </c>
      <c r="B191" s="6" t="s">
        <v>22</v>
      </c>
      <c r="C191" s="6">
        <v>2014</v>
      </c>
      <c r="D191" s="6" t="s">
        <v>1</v>
      </c>
      <c r="E191" s="6" t="s">
        <v>5</v>
      </c>
      <c r="F191" s="7">
        <v>7</v>
      </c>
    </row>
    <row r="192" spans="1:6" ht="28" x14ac:dyDescent="0.3">
      <c r="A192" s="6" t="s">
        <v>7</v>
      </c>
      <c r="B192" s="6" t="s">
        <v>23</v>
      </c>
      <c r="C192" s="6">
        <v>2014</v>
      </c>
      <c r="D192" s="6" t="s">
        <v>1</v>
      </c>
      <c r="E192" s="6" t="s">
        <v>5</v>
      </c>
      <c r="F192" s="7">
        <v>18</v>
      </c>
    </row>
    <row r="193" spans="1:6" ht="28" x14ac:dyDescent="0.3">
      <c r="A193" s="6" t="s">
        <v>8</v>
      </c>
      <c r="B193" s="6" t="s">
        <v>24</v>
      </c>
      <c r="C193" s="6">
        <v>2014</v>
      </c>
      <c r="D193" s="6" t="s">
        <v>1</v>
      </c>
      <c r="E193" s="6" t="s">
        <v>5</v>
      </c>
      <c r="F193" s="7">
        <v>483</v>
      </c>
    </row>
    <row r="194" spans="1:6" ht="28" x14ac:dyDescent="0.3">
      <c r="A194" s="6" t="s">
        <v>8</v>
      </c>
      <c r="B194" s="6" t="s">
        <v>25</v>
      </c>
      <c r="C194" s="6">
        <v>2014</v>
      </c>
      <c r="D194" s="6" t="s">
        <v>1</v>
      </c>
      <c r="E194" s="6" t="s">
        <v>5</v>
      </c>
      <c r="F194" s="7">
        <v>156</v>
      </c>
    </row>
    <row r="195" spans="1:6" ht="28" x14ac:dyDescent="0.3">
      <c r="A195" s="6" t="s">
        <v>9</v>
      </c>
      <c r="B195" s="6" t="s">
        <v>26</v>
      </c>
      <c r="C195" s="6">
        <v>2014</v>
      </c>
      <c r="D195" s="6" t="s">
        <v>1</v>
      </c>
      <c r="E195" s="6" t="s">
        <v>5</v>
      </c>
      <c r="F195" s="7">
        <v>19</v>
      </c>
    </row>
    <row r="196" spans="1:6" ht="28" x14ac:dyDescent="0.3">
      <c r="A196" s="6" t="s">
        <v>9</v>
      </c>
      <c r="B196" s="6" t="s">
        <v>35</v>
      </c>
      <c r="C196" s="6">
        <v>2014</v>
      </c>
      <c r="D196" s="6" t="s">
        <v>1</v>
      </c>
      <c r="E196" s="6" t="s">
        <v>5</v>
      </c>
      <c r="F196" s="7">
        <v>13</v>
      </c>
    </row>
    <row r="197" spans="1:6" ht="28" x14ac:dyDescent="0.3">
      <c r="A197" s="6" t="s">
        <v>9</v>
      </c>
      <c r="B197" s="6" t="s">
        <v>36</v>
      </c>
      <c r="C197" s="6">
        <v>2014</v>
      </c>
      <c r="D197" s="6" t="s">
        <v>1</v>
      </c>
      <c r="E197" s="6" t="s">
        <v>5</v>
      </c>
      <c r="F197" s="7">
        <v>19</v>
      </c>
    </row>
    <row r="198" spans="1:6" ht="28" x14ac:dyDescent="0.3">
      <c r="A198" s="6" t="s">
        <v>9</v>
      </c>
      <c r="B198" s="6" t="s">
        <v>37</v>
      </c>
      <c r="C198" s="6">
        <v>2014</v>
      </c>
      <c r="D198" s="6" t="s">
        <v>1</v>
      </c>
      <c r="E198" s="6" t="s">
        <v>5</v>
      </c>
      <c r="F198" s="7">
        <v>6</v>
      </c>
    </row>
    <row r="199" spans="1:6" ht="28" x14ac:dyDescent="0.3">
      <c r="A199" s="6" t="s">
        <v>9</v>
      </c>
      <c r="B199" s="6" t="s">
        <v>38</v>
      </c>
      <c r="C199" s="6">
        <v>2014</v>
      </c>
      <c r="D199" s="6" t="s">
        <v>1</v>
      </c>
      <c r="E199" s="6" t="s">
        <v>5</v>
      </c>
      <c r="F199" s="7">
        <v>1206</v>
      </c>
    </row>
    <row r="200" spans="1:6" ht="28" x14ac:dyDescent="0.3">
      <c r="A200" s="6" t="s">
        <v>9</v>
      </c>
      <c r="B200" s="6" t="s">
        <v>39</v>
      </c>
      <c r="C200" s="6">
        <v>2014</v>
      </c>
      <c r="D200" s="6" t="s">
        <v>1</v>
      </c>
      <c r="E200" s="6" t="s">
        <v>5</v>
      </c>
      <c r="F200" s="7">
        <v>10</v>
      </c>
    </row>
    <row r="201" spans="1:6" ht="28" x14ac:dyDescent="0.3">
      <c r="A201" s="6" t="s">
        <v>9</v>
      </c>
      <c r="B201" s="6" t="s">
        <v>40</v>
      </c>
      <c r="C201" s="6">
        <v>2014</v>
      </c>
      <c r="D201" s="6" t="s">
        <v>1</v>
      </c>
      <c r="E201" s="6" t="s">
        <v>5</v>
      </c>
      <c r="F201" s="7">
        <v>6</v>
      </c>
    </row>
    <row r="202" spans="1:6" ht="28" x14ac:dyDescent="0.3">
      <c r="A202" s="6" t="s">
        <v>9</v>
      </c>
      <c r="B202" s="6" t="s">
        <v>41</v>
      </c>
      <c r="C202" s="6">
        <v>2014</v>
      </c>
      <c r="D202" s="6" t="s">
        <v>1</v>
      </c>
      <c r="E202" s="6" t="s">
        <v>5</v>
      </c>
      <c r="F202" s="7">
        <v>1718</v>
      </c>
    </row>
    <row r="203" spans="1:6" ht="28" x14ac:dyDescent="0.3">
      <c r="A203" s="6" t="s">
        <v>9</v>
      </c>
      <c r="B203" s="6" t="s">
        <v>42</v>
      </c>
      <c r="C203" s="6">
        <v>2014</v>
      </c>
      <c r="D203" s="6" t="s">
        <v>1</v>
      </c>
      <c r="E203" s="6" t="s">
        <v>5</v>
      </c>
      <c r="F203" s="7">
        <v>5526</v>
      </c>
    </row>
    <row r="204" spans="1:6" ht="28" x14ac:dyDescent="0.3">
      <c r="A204" s="6" t="s">
        <v>9</v>
      </c>
      <c r="B204" s="6" t="s">
        <v>43</v>
      </c>
      <c r="C204" s="6">
        <v>2014</v>
      </c>
      <c r="D204" s="6" t="s">
        <v>1</v>
      </c>
      <c r="E204" s="6" t="s">
        <v>5</v>
      </c>
      <c r="F204" s="7">
        <v>2123</v>
      </c>
    </row>
    <row r="205" spans="1:6" ht="28" x14ac:dyDescent="0.3">
      <c r="A205" s="6" t="s">
        <v>9</v>
      </c>
      <c r="B205" s="6" t="s">
        <v>44</v>
      </c>
      <c r="C205" s="6">
        <v>2014</v>
      </c>
      <c r="D205" s="6" t="s">
        <v>1</v>
      </c>
      <c r="E205" s="6" t="s">
        <v>5</v>
      </c>
      <c r="F205" s="7">
        <v>305</v>
      </c>
    </row>
    <row r="206" spans="1:6" ht="28" x14ac:dyDescent="0.3">
      <c r="A206" s="6" t="s">
        <v>9</v>
      </c>
      <c r="B206" s="6" t="s">
        <v>27</v>
      </c>
      <c r="C206" s="6">
        <v>2014</v>
      </c>
      <c r="D206" s="6" t="s">
        <v>1</v>
      </c>
      <c r="E206" s="6" t="s">
        <v>5</v>
      </c>
      <c r="F206" s="7">
        <v>311</v>
      </c>
    </row>
    <row r="207" spans="1:6" ht="28" x14ac:dyDescent="0.3">
      <c r="A207" s="6" t="s">
        <v>9</v>
      </c>
      <c r="B207" s="6" t="s">
        <v>45</v>
      </c>
      <c r="C207" s="6">
        <v>2014</v>
      </c>
      <c r="D207" s="6" t="s">
        <v>1</v>
      </c>
      <c r="E207" s="6" t="s">
        <v>5</v>
      </c>
      <c r="F207" s="7">
        <v>5</v>
      </c>
    </row>
    <row r="208" spans="1:6" ht="28" x14ac:dyDescent="0.3">
      <c r="A208" s="6" t="s">
        <v>9</v>
      </c>
      <c r="B208" s="6" t="s">
        <v>46</v>
      </c>
      <c r="C208" s="6">
        <v>2014</v>
      </c>
      <c r="D208" s="6" t="s">
        <v>1</v>
      </c>
      <c r="E208" s="6" t="s">
        <v>5</v>
      </c>
      <c r="F208" s="7">
        <v>1370</v>
      </c>
    </row>
    <row r="209" spans="1:6" ht="28" x14ac:dyDescent="0.3">
      <c r="A209" s="6" t="s">
        <v>9</v>
      </c>
      <c r="B209" s="6" t="s">
        <v>47</v>
      </c>
      <c r="C209" s="6">
        <v>2014</v>
      </c>
      <c r="D209" s="6" t="s">
        <v>1</v>
      </c>
      <c r="E209" s="6" t="s">
        <v>5</v>
      </c>
      <c r="F209" s="7">
        <v>66</v>
      </c>
    </row>
    <row r="210" spans="1:6" ht="28" x14ac:dyDescent="0.3">
      <c r="A210" s="6" t="s">
        <v>9</v>
      </c>
      <c r="B210" s="6" t="s">
        <v>48</v>
      </c>
      <c r="C210" s="6">
        <v>2014</v>
      </c>
      <c r="D210" s="6" t="s">
        <v>1</v>
      </c>
      <c r="E210" s="6" t="s">
        <v>5</v>
      </c>
      <c r="F210" s="7">
        <v>1419</v>
      </c>
    </row>
    <row r="211" spans="1:6" ht="28" x14ac:dyDescent="0.3">
      <c r="A211" s="6" t="s">
        <v>9</v>
      </c>
      <c r="B211" s="6" t="s">
        <v>49</v>
      </c>
      <c r="C211" s="6">
        <v>2014</v>
      </c>
      <c r="D211" s="6" t="s">
        <v>1</v>
      </c>
      <c r="E211" s="6" t="s">
        <v>5</v>
      </c>
      <c r="F211" s="7">
        <v>1307</v>
      </c>
    </row>
    <row r="212" spans="1:6" ht="28" x14ac:dyDescent="0.3">
      <c r="A212" s="6" t="s">
        <v>9</v>
      </c>
      <c r="B212" s="6" t="s">
        <v>50</v>
      </c>
      <c r="C212" s="6">
        <v>2014</v>
      </c>
      <c r="D212" s="6" t="s">
        <v>1</v>
      </c>
      <c r="E212" s="6" t="s">
        <v>5</v>
      </c>
      <c r="F212" s="7">
        <v>2076</v>
      </c>
    </row>
    <row r="213" spans="1:6" ht="28" x14ac:dyDescent="0.3">
      <c r="A213" s="6" t="s">
        <v>9</v>
      </c>
      <c r="B213" s="6" t="s">
        <v>51</v>
      </c>
      <c r="C213" s="6">
        <v>2014</v>
      </c>
      <c r="D213" s="6" t="s">
        <v>1</v>
      </c>
      <c r="E213" s="6" t="s">
        <v>5</v>
      </c>
      <c r="F213" s="7">
        <v>2808</v>
      </c>
    </row>
    <row r="214" spans="1:6" ht="28" x14ac:dyDescent="0.3">
      <c r="A214" s="6" t="s">
        <v>9</v>
      </c>
      <c r="B214" s="6" t="s">
        <v>52</v>
      </c>
      <c r="C214" s="6">
        <v>2014</v>
      </c>
      <c r="D214" s="6" t="s">
        <v>1</v>
      </c>
      <c r="E214" s="6" t="s">
        <v>5</v>
      </c>
      <c r="F214" s="7">
        <v>2915</v>
      </c>
    </row>
    <row r="215" spans="1:6" ht="28" x14ac:dyDescent="0.3">
      <c r="A215" s="6" t="s">
        <v>9</v>
      </c>
      <c r="B215" s="6" t="s">
        <v>53</v>
      </c>
      <c r="C215" s="6">
        <v>2014</v>
      </c>
      <c r="D215" s="6" t="s">
        <v>1</v>
      </c>
      <c r="E215" s="6" t="s">
        <v>5</v>
      </c>
      <c r="F215" s="7">
        <v>2403</v>
      </c>
    </row>
    <row r="216" spans="1:6" ht="28" x14ac:dyDescent="0.3">
      <c r="A216" s="6" t="s">
        <v>9</v>
      </c>
      <c r="B216" s="6" t="s">
        <v>54</v>
      </c>
      <c r="C216" s="6">
        <v>2014</v>
      </c>
      <c r="D216" s="6" t="s">
        <v>1</v>
      </c>
      <c r="E216" s="6" t="s">
        <v>5</v>
      </c>
      <c r="F216" s="7">
        <v>1037</v>
      </c>
    </row>
    <row r="217" spans="1:6" ht="28" x14ac:dyDescent="0.3">
      <c r="A217" s="6" t="s">
        <v>9</v>
      </c>
      <c r="B217" s="6" t="s">
        <v>28</v>
      </c>
      <c r="C217" s="6">
        <v>2014</v>
      </c>
      <c r="D217" s="6" t="s">
        <v>1</v>
      </c>
      <c r="E217" s="6" t="s">
        <v>5</v>
      </c>
      <c r="F217" s="7">
        <v>161</v>
      </c>
    </row>
    <row r="218" spans="1:6" ht="28" x14ac:dyDescent="0.3">
      <c r="A218" s="6" t="s">
        <v>9</v>
      </c>
      <c r="B218" s="6" t="s">
        <v>55</v>
      </c>
      <c r="C218" s="6">
        <v>2014</v>
      </c>
      <c r="D218" s="6" t="s">
        <v>1</v>
      </c>
      <c r="E218" s="6" t="s">
        <v>5</v>
      </c>
      <c r="F218" s="7">
        <v>1561</v>
      </c>
    </row>
    <row r="219" spans="1:6" ht="28" x14ac:dyDescent="0.3">
      <c r="A219" s="6" t="s">
        <v>9</v>
      </c>
      <c r="B219" s="6" t="s">
        <v>56</v>
      </c>
      <c r="C219" s="6">
        <v>2014</v>
      </c>
      <c r="D219" s="6" t="s">
        <v>1</v>
      </c>
      <c r="E219" s="6" t="s">
        <v>5</v>
      </c>
      <c r="F219" s="7">
        <v>1974</v>
      </c>
    </row>
    <row r="220" spans="1:6" ht="28" x14ac:dyDescent="0.3">
      <c r="A220" s="6" t="s">
        <v>9</v>
      </c>
      <c r="B220" s="6" t="s">
        <v>57</v>
      </c>
      <c r="C220" s="6">
        <v>2014</v>
      </c>
      <c r="D220" s="6" t="s">
        <v>1</v>
      </c>
      <c r="E220" s="6" t="s">
        <v>5</v>
      </c>
      <c r="F220" s="7">
        <v>1703</v>
      </c>
    </row>
    <row r="221" spans="1:6" ht="28" x14ac:dyDescent="0.3">
      <c r="A221" s="6" t="s">
        <v>9</v>
      </c>
      <c r="B221" s="6" t="s">
        <v>58</v>
      </c>
      <c r="C221" s="6">
        <v>2014</v>
      </c>
      <c r="D221" s="6" t="s">
        <v>1</v>
      </c>
      <c r="E221" s="6" t="s">
        <v>5</v>
      </c>
      <c r="F221" s="7">
        <v>2264</v>
      </c>
    </row>
    <row r="222" spans="1:6" ht="28" x14ac:dyDescent="0.3">
      <c r="A222" s="6" t="s">
        <v>9</v>
      </c>
      <c r="B222" s="6" t="s">
        <v>29</v>
      </c>
      <c r="C222" s="6">
        <v>2014</v>
      </c>
      <c r="D222" s="6" t="s">
        <v>1</v>
      </c>
      <c r="E222" s="6" t="s">
        <v>5</v>
      </c>
      <c r="F222" s="7">
        <v>6</v>
      </c>
    </row>
    <row r="223" spans="1:6" ht="28" x14ac:dyDescent="0.3">
      <c r="A223" s="6" t="s">
        <v>9</v>
      </c>
      <c r="B223" s="6" t="s">
        <v>30</v>
      </c>
      <c r="C223" s="6">
        <v>2014</v>
      </c>
      <c r="D223" s="6" t="s">
        <v>1</v>
      </c>
      <c r="E223" s="6" t="s">
        <v>5</v>
      </c>
      <c r="F223" s="7">
        <v>46</v>
      </c>
    </row>
    <row r="224" spans="1:6" ht="28" x14ac:dyDescent="0.3">
      <c r="A224" s="6" t="s">
        <v>9</v>
      </c>
      <c r="B224" s="6" t="s">
        <v>31</v>
      </c>
      <c r="C224" s="6">
        <v>2014</v>
      </c>
      <c r="D224" s="6" t="s">
        <v>1</v>
      </c>
      <c r="E224" s="6" t="s">
        <v>5</v>
      </c>
      <c r="F224" s="7">
        <v>1987</v>
      </c>
    </row>
    <row r="225" spans="1:6" ht="28" x14ac:dyDescent="0.3">
      <c r="A225" s="6" t="s">
        <v>9</v>
      </c>
      <c r="B225" s="6" t="s">
        <v>32</v>
      </c>
      <c r="C225" s="6">
        <v>2014</v>
      </c>
      <c r="D225" s="6" t="s">
        <v>1</v>
      </c>
      <c r="E225" s="6" t="s">
        <v>5</v>
      </c>
      <c r="F225" s="7">
        <v>11</v>
      </c>
    </row>
    <row r="226" spans="1:6" ht="28" x14ac:dyDescent="0.3">
      <c r="A226" s="6" t="s">
        <v>9</v>
      </c>
      <c r="B226" s="6" t="s">
        <v>33</v>
      </c>
      <c r="C226" s="6">
        <v>2014</v>
      </c>
      <c r="D226" s="6" t="s">
        <v>1</v>
      </c>
      <c r="E226" s="6" t="s">
        <v>5</v>
      </c>
      <c r="F226" s="7">
        <v>9</v>
      </c>
    </row>
    <row r="227" spans="1:6" ht="28" x14ac:dyDescent="0.3">
      <c r="A227" s="6" t="s">
        <v>9</v>
      </c>
      <c r="B227" s="6" t="s">
        <v>34</v>
      </c>
      <c r="C227" s="6">
        <v>2014</v>
      </c>
      <c r="D227" s="6" t="s">
        <v>1</v>
      </c>
      <c r="E227" s="6" t="s">
        <v>5</v>
      </c>
      <c r="F227" s="7">
        <v>169</v>
      </c>
    </row>
    <row r="228" spans="1:6" ht="28" x14ac:dyDescent="0.3">
      <c r="A228" s="6" t="s">
        <v>10</v>
      </c>
      <c r="B228" s="6" t="s">
        <v>59</v>
      </c>
      <c r="C228" s="6">
        <v>2014</v>
      </c>
      <c r="D228" s="6" t="s">
        <v>1</v>
      </c>
      <c r="E228" s="6" t="s">
        <v>5</v>
      </c>
      <c r="F228" s="7">
        <v>461</v>
      </c>
    </row>
    <row r="229" spans="1:6" ht="28" x14ac:dyDescent="0.3">
      <c r="A229" s="6" t="s">
        <v>10</v>
      </c>
      <c r="B229" s="6" t="s">
        <v>60</v>
      </c>
      <c r="C229" s="6">
        <v>2014</v>
      </c>
      <c r="D229" s="6" t="s">
        <v>1</v>
      </c>
      <c r="E229" s="6" t="s">
        <v>5</v>
      </c>
      <c r="F229" s="7">
        <v>17</v>
      </c>
    </row>
    <row r="230" spans="1:6" ht="28" x14ac:dyDescent="0.3">
      <c r="A230" s="6" t="s">
        <v>10</v>
      </c>
      <c r="B230" s="6" t="s">
        <v>61</v>
      </c>
      <c r="C230" s="6">
        <v>2014</v>
      </c>
      <c r="D230" s="6" t="s">
        <v>1</v>
      </c>
      <c r="E230" s="6" t="s">
        <v>5</v>
      </c>
      <c r="F230" s="7">
        <v>55</v>
      </c>
    </row>
    <row r="231" spans="1:6" ht="28" x14ac:dyDescent="0.3">
      <c r="A231" s="6" t="s">
        <v>10</v>
      </c>
      <c r="B231" s="6" t="s">
        <v>62</v>
      </c>
      <c r="C231" s="6">
        <v>2014</v>
      </c>
      <c r="D231" s="6" t="s">
        <v>1</v>
      </c>
      <c r="E231" s="6" t="s">
        <v>5</v>
      </c>
      <c r="F231" s="7">
        <v>8</v>
      </c>
    </row>
    <row r="232" spans="1:6" ht="28" x14ac:dyDescent="0.3">
      <c r="A232" s="6" t="s">
        <v>10</v>
      </c>
      <c r="B232" s="6" t="s">
        <v>63</v>
      </c>
      <c r="C232" s="6">
        <v>2014</v>
      </c>
      <c r="D232" s="6" t="s">
        <v>1</v>
      </c>
      <c r="E232" s="6" t="s">
        <v>5</v>
      </c>
      <c r="F232" s="7">
        <v>142</v>
      </c>
    </row>
    <row r="233" spans="1:6" ht="28" x14ac:dyDescent="0.3">
      <c r="A233" s="6" t="s">
        <v>10</v>
      </c>
      <c r="B233" s="6" t="s">
        <v>64</v>
      </c>
      <c r="C233" s="6">
        <v>2014</v>
      </c>
      <c r="D233" s="6" t="s">
        <v>1</v>
      </c>
      <c r="E233" s="6" t="s">
        <v>5</v>
      </c>
      <c r="F233" s="7">
        <v>13</v>
      </c>
    </row>
    <row r="234" spans="1:6" ht="28" x14ac:dyDescent="0.3">
      <c r="A234" s="6" t="s">
        <v>10</v>
      </c>
      <c r="B234" s="6" t="s">
        <v>65</v>
      </c>
      <c r="C234" s="6">
        <v>2014</v>
      </c>
      <c r="D234" s="6" t="s">
        <v>1</v>
      </c>
      <c r="E234" s="6" t="s">
        <v>5</v>
      </c>
      <c r="F234" s="7">
        <v>2055</v>
      </c>
    </row>
    <row r="235" spans="1:6" ht="28" x14ac:dyDescent="0.3">
      <c r="A235" s="6" t="s">
        <v>10</v>
      </c>
      <c r="B235" s="6" t="s">
        <v>66</v>
      </c>
      <c r="C235" s="6">
        <v>2014</v>
      </c>
      <c r="D235" s="6" t="s">
        <v>1</v>
      </c>
      <c r="E235" s="6" t="s">
        <v>5</v>
      </c>
      <c r="F235" s="7">
        <v>37</v>
      </c>
    </row>
    <row r="236" spans="1:6" ht="28" x14ac:dyDescent="0.3">
      <c r="A236" s="6" t="s">
        <v>11</v>
      </c>
      <c r="B236" s="6" t="s">
        <v>67</v>
      </c>
      <c r="C236" s="6">
        <v>2014</v>
      </c>
      <c r="D236" s="6" t="s">
        <v>1</v>
      </c>
      <c r="E236" s="6" t="s">
        <v>5</v>
      </c>
      <c r="F236" s="7">
        <v>54</v>
      </c>
    </row>
    <row r="237" spans="1:6" ht="28" x14ac:dyDescent="0.3">
      <c r="A237" s="6" t="s">
        <v>11</v>
      </c>
      <c r="B237" s="6" t="s">
        <v>76</v>
      </c>
      <c r="C237" s="6">
        <v>2014</v>
      </c>
      <c r="D237" s="6" t="s">
        <v>1</v>
      </c>
      <c r="E237" s="6" t="s">
        <v>5</v>
      </c>
      <c r="F237" s="7">
        <v>92</v>
      </c>
    </row>
    <row r="238" spans="1:6" ht="28" x14ac:dyDescent="0.3">
      <c r="A238" s="6" t="s">
        <v>11</v>
      </c>
      <c r="B238" s="6" t="s">
        <v>77</v>
      </c>
      <c r="C238" s="6">
        <v>2014</v>
      </c>
      <c r="D238" s="6" t="s">
        <v>1</v>
      </c>
      <c r="E238" s="6" t="s">
        <v>5</v>
      </c>
      <c r="F238" s="7">
        <v>60</v>
      </c>
    </row>
    <row r="239" spans="1:6" ht="28" x14ac:dyDescent="0.3">
      <c r="A239" s="6" t="s">
        <v>11</v>
      </c>
      <c r="B239" s="6" t="s">
        <v>78</v>
      </c>
      <c r="C239" s="6">
        <v>2014</v>
      </c>
      <c r="D239" s="6" t="s">
        <v>1</v>
      </c>
      <c r="E239" s="6" t="s">
        <v>5</v>
      </c>
      <c r="F239" s="7">
        <v>18</v>
      </c>
    </row>
    <row r="240" spans="1:6" ht="28" x14ac:dyDescent="0.3">
      <c r="A240" s="6" t="s">
        <v>11</v>
      </c>
      <c r="B240" s="6" t="s">
        <v>79</v>
      </c>
      <c r="C240" s="6">
        <v>2014</v>
      </c>
      <c r="D240" s="6" t="s">
        <v>1</v>
      </c>
      <c r="E240" s="6" t="s">
        <v>5</v>
      </c>
      <c r="F240" s="7">
        <v>15</v>
      </c>
    </row>
    <row r="241" spans="1:6" ht="28" x14ac:dyDescent="0.3">
      <c r="A241" s="6" t="s">
        <v>11</v>
      </c>
      <c r="B241" s="6" t="s">
        <v>80</v>
      </c>
      <c r="C241" s="6">
        <v>2014</v>
      </c>
      <c r="D241" s="6" t="s">
        <v>1</v>
      </c>
      <c r="E241" s="6" t="s">
        <v>5</v>
      </c>
      <c r="F241" s="7">
        <v>28</v>
      </c>
    </row>
    <row r="242" spans="1:6" ht="28" x14ac:dyDescent="0.3">
      <c r="A242" s="6" t="s">
        <v>11</v>
      </c>
      <c r="B242" s="6" t="s">
        <v>68</v>
      </c>
      <c r="C242" s="6">
        <v>2014</v>
      </c>
      <c r="D242" s="6" t="s">
        <v>1</v>
      </c>
      <c r="E242" s="6" t="s">
        <v>5</v>
      </c>
      <c r="F242" s="7">
        <v>64</v>
      </c>
    </row>
    <row r="243" spans="1:6" ht="28" x14ac:dyDescent="0.3">
      <c r="A243" s="6" t="s">
        <v>11</v>
      </c>
      <c r="B243" s="6" t="s">
        <v>69</v>
      </c>
      <c r="C243" s="6">
        <v>2014</v>
      </c>
      <c r="D243" s="6" t="s">
        <v>1</v>
      </c>
      <c r="E243" s="6" t="s">
        <v>5</v>
      </c>
      <c r="F243" s="7">
        <v>1142</v>
      </c>
    </row>
    <row r="244" spans="1:6" ht="28" x14ac:dyDescent="0.3">
      <c r="A244" s="6" t="s">
        <v>11</v>
      </c>
      <c r="B244" s="6" t="s">
        <v>70</v>
      </c>
      <c r="C244" s="6">
        <v>2014</v>
      </c>
      <c r="D244" s="6" t="s">
        <v>1</v>
      </c>
      <c r="E244" s="6" t="s">
        <v>5</v>
      </c>
      <c r="F244" s="7">
        <v>44</v>
      </c>
    </row>
    <row r="245" spans="1:6" ht="28" x14ac:dyDescent="0.3">
      <c r="A245" s="6" t="s">
        <v>11</v>
      </c>
      <c r="B245" s="6" t="s">
        <v>71</v>
      </c>
      <c r="C245" s="6">
        <v>2014</v>
      </c>
      <c r="D245" s="6" t="s">
        <v>1</v>
      </c>
      <c r="E245" s="6" t="s">
        <v>5</v>
      </c>
      <c r="F245" s="7">
        <v>6</v>
      </c>
    </row>
    <row r="246" spans="1:6" ht="28" x14ac:dyDescent="0.3">
      <c r="A246" s="6" t="s">
        <v>11</v>
      </c>
      <c r="B246" s="6" t="s">
        <v>72</v>
      </c>
      <c r="C246" s="6">
        <v>2014</v>
      </c>
      <c r="D246" s="6" t="s">
        <v>1</v>
      </c>
      <c r="E246" s="6" t="s">
        <v>5</v>
      </c>
      <c r="F246" s="7">
        <v>240</v>
      </c>
    </row>
    <row r="247" spans="1:6" ht="28" x14ac:dyDescent="0.3">
      <c r="A247" s="6" t="s">
        <v>11</v>
      </c>
      <c r="B247" s="6" t="s">
        <v>73</v>
      </c>
      <c r="C247" s="6">
        <v>2014</v>
      </c>
      <c r="D247" s="6" t="s">
        <v>1</v>
      </c>
      <c r="E247" s="6" t="s">
        <v>5</v>
      </c>
      <c r="F247" s="7">
        <v>51</v>
      </c>
    </row>
    <row r="248" spans="1:6" ht="28" x14ac:dyDescent="0.3">
      <c r="A248" s="6" t="s">
        <v>11</v>
      </c>
      <c r="B248" s="6" t="s">
        <v>74</v>
      </c>
      <c r="C248" s="6">
        <v>2014</v>
      </c>
      <c r="D248" s="6" t="s">
        <v>1</v>
      </c>
      <c r="E248" s="6" t="s">
        <v>5</v>
      </c>
      <c r="F248" s="7">
        <v>27</v>
      </c>
    </row>
    <row r="249" spans="1:6" ht="28" x14ac:dyDescent="0.3">
      <c r="A249" s="6" t="s">
        <v>11</v>
      </c>
      <c r="B249" s="6" t="s">
        <v>75</v>
      </c>
      <c r="C249" s="6">
        <v>2014</v>
      </c>
      <c r="D249" s="6" t="s">
        <v>1</v>
      </c>
      <c r="E249" s="6" t="s">
        <v>5</v>
      </c>
      <c r="F249" s="7">
        <v>1688</v>
      </c>
    </row>
    <row r="250" spans="1:6" ht="28" x14ac:dyDescent="0.3">
      <c r="A250" s="6" t="s">
        <v>12</v>
      </c>
      <c r="B250" s="6" t="s">
        <v>81</v>
      </c>
      <c r="C250" s="6">
        <v>2014</v>
      </c>
      <c r="D250" s="6" t="s">
        <v>1</v>
      </c>
      <c r="E250" s="6" t="s">
        <v>5</v>
      </c>
      <c r="F250" s="7">
        <v>52</v>
      </c>
    </row>
    <row r="251" spans="1:6" ht="28" x14ac:dyDescent="0.3">
      <c r="A251" s="6" t="s">
        <v>12</v>
      </c>
      <c r="B251" s="6" t="s">
        <v>82</v>
      </c>
      <c r="C251" s="6">
        <v>2014</v>
      </c>
      <c r="D251" s="6" t="s">
        <v>1</v>
      </c>
      <c r="E251" s="6" t="s">
        <v>5</v>
      </c>
      <c r="F251" s="7">
        <v>98</v>
      </c>
    </row>
    <row r="252" spans="1:6" ht="28" x14ac:dyDescent="0.3">
      <c r="A252" s="6" t="s">
        <v>12</v>
      </c>
      <c r="B252" s="6" t="s">
        <v>83</v>
      </c>
      <c r="C252" s="6">
        <v>2014</v>
      </c>
      <c r="D252" s="6" t="s">
        <v>1</v>
      </c>
      <c r="E252" s="6" t="s">
        <v>5</v>
      </c>
      <c r="F252" s="7">
        <v>80</v>
      </c>
    </row>
    <row r="253" spans="1:6" ht="28" x14ac:dyDescent="0.3">
      <c r="A253" s="6" t="s">
        <v>12</v>
      </c>
      <c r="B253" s="6" t="s">
        <v>84</v>
      </c>
      <c r="C253" s="6">
        <v>2014</v>
      </c>
      <c r="D253" s="6" t="s">
        <v>1</v>
      </c>
      <c r="E253" s="6" t="s">
        <v>5</v>
      </c>
      <c r="F253" s="7">
        <v>10</v>
      </c>
    </row>
    <row r="254" spans="1:6" ht="28" x14ac:dyDescent="0.3">
      <c r="A254" s="6" t="s">
        <v>12</v>
      </c>
      <c r="B254" s="6" t="s">
        <v>85</v>
      </c>
      <c r="C254" s="6">
        <v>2014</v>
      </c>
      <c r="D254" s="6" t="s">
        <v>1</v>
      </c>
      <c r="E254" s="6" t="s">
        <v>5</v>
      </c>
      <c r="F254" s="7">
        <v>559</v>
      </c>
    </row>
    <row r="255" spans="1:6" ht="28" x14ac:dyDescent="0.3">
      <c r="A255" s="6" t="s">
        <v>12</v>
      </c>
      <c r="B255" s="6" t="s">
        <v>86</v>
      </c>
      <c r="C255" s="6">
        <v>2014</v>
      </c>
      <c r="D255" s="6" t="s">
        <v>1</v>
      </c>
      <c r="E255" s="6" t="s">
        <v>5</v>
      </c>
      <c r="F255" s="7">
        <v>13</v>
      </c>
    </row>
    <row r="256" spans="1:6" ht="28" x14ac:dyDescent="0.3">
      <c r="A256" s="6" t="s">
        <v>12</v>
      </c>
      <c r="B256" s="6" t="s">
        <v>87</v>
      </c>
      <c r="C256" s="6">
        <v>2014</v>
      </c>
      <c r="D256" s="6" t="s">
        <v>1</v>
      </c>
      <c r="E256" s="6" t="s">
        <v>5</v>
      </c>
      <c r="F256" s="7">
        <v>80</v>
      </c>
    </row>
    <row r="257" spans="1:6" ht="28" x14ac:dyDescent="0.3">
      <c r="A257" s="6" t="s">
        <v>12</v>
      </c>
      <c r="B257" s="6" t="s">
        <v>88</v>
      </c>
      <c r="C257" s="6">
        <v>2014</v>
      </c>
      <c r="D257" s="6" t="s">
        <v>1</v>
      </c>
      <c r="E257" s="6" t="s">
        <v>5</v>
      </c>
      <c r="F257" s="7">
        <v>140</v>
      </c>
    </row>
    <row r="258" spans="1:6" ht="28" x14ac:dyDescent="0.3">
      <c r="A258" s="6" t="s">
        <v>13</v>
      </c>
      <c r="B258" s="6" t="s">
        <v>89</v>
      </c>
      <c r="C258" s="6">
        <v>2014</v>
      </c>
      <c r="D258" s="6" t="s">
        <v>1</v>
      </c>
      <c r="E258" s="6" t="s">
        <v>5</v>
      </c>
      <c r="F258" s="7">
        <v>6</v>
      </c>
    </row>
    <row r="259" spans="1:6" ht="28" x14ac:dyDescent="0.3">
      <c r="A259" s="6" t="s">
        <v>13</v>
      </c>
      <c r="B259" s="6" t="s">
        <v>98</v>
      </c>
      <c r="C259" s="6">
        <v>2014</v>
      </c>
      <c r="D259" s="6" t="s">
        <v>1</v>
      </c>
      <c r="E259" s="6" t="s">
        <v>5</v>
      </c>
      <c r="F259" s="7">
        <v>9</v>
      </c>
    </row>
    <row r="260" spans="1:6" ht="28" x14ac:dyDescent="0.3">
      <c r="A260" s="6" t="s">
        <v>13</v>
      </c>
      <c r="B260" s="6" t="s">
        <v>99</v>
      </c>
      <c r="C260" s="6">
        <v>2014</v>
      </c>
      <c r="D260" s="6" t="s">
        <v>1</v>
      </c>
      <c r="E260" s="6" t="s">
        <v>5</v>
      </c>
      <c r="F260" s="7">
        <v>9</v>
      </c>
    </row>
    <row r="261" spans="1:6" ht="28" x14ac:dyDescent="0.3">
      <c r="A261" s="6" t="s">
        <v>13</v>
      </c>
      <c r="B261" s="6" t="s">
        <v>90</v>
      </c>
      <c r="C261" s="6">
        <v>2014</v>
      </c>
      <c r="D261" s="6" t="s">
        <v>1</v>
      </c>
      <c r="E261" s="6" t="s">
        <v>5</v>
      </c>
      <c r="F261" s="7">
        <v>64</v>
      </c>
    </row>
    <row r="262" spans="1:6" ht="28" x14ac:dyDescent="0.3">
      <c r="A262" s="6" t="s">
        <v>13</v>
      </c>
      <c r="B262" s="6" t="s">
        <v>91</v>
      </c>
      <c r="C262" s="6">
        <v>2014</v>
      </c>
      <c r="D262" s="6" t="s">
        <v>1</v>
      </c>
      <c r="E262" s="6" t="s">
        <v>5</v>
      </c>
      <c r="F262" s="7">
        <v>15</v>
      </c>
    </row>
    <row r="263" spans="1:6" ht="28" x14ac:dyDescent="0.3">
      <c r="A263" s="6" t="s">
        <v>13</v>
      </c>
      <c r="B263" s="6" t="s">
        <v>92</v>
      </c>
      <c r="C263" s="6">
        <v>2014</v>
      </c>
      <c r="D263" s="6" t="s">
        <v>1</v>
      </c>
      <c r="E263" s="6" t="s">
        <v>5</v>
      </c>
      <c r="F263" s="7">
        <v>30</v>
      </c>
    </row>
    <row r="264" spans="1:6" ht="28" x14ac:dyDescent="0.3">
      <c r="A264" s="6" t="s">
        <v>13</v>
      </c>
      <c r="B264" s="6" t="s">
        <v>93</v>
      </c>
      <c r="C264" s="6">
        <v>2014</v>
      </c>
      <c r="D264" s="6" t="s">
        <v>1</v>
      </c>
      <c r="E264" s="6" t="s">
        <v>5</v>
      </c>
      <c r="F264" s="7">
        <v>10</v>
      </c>
    </row>
    <row r="265" spans="1:6" ht="28" x14ac:dyDescent="0.3">
      <c r="A265" s="6" t="s">
        <v>13</v>
      </c>
      <c r="B265" s="6" t="s">
        <v>94</v>
      </c>
      <c r="C265" s="6">
        <v>2014</v>
      </c>
      <c r="D265" s="6" t="s">
        <v>1</v>
      </c>
      <c r="E265" s="6" t="s">
        <v>5</v>
      </c>
      <c r="F265" s="7">
        <v>6</v>
      </c>
    </row>
    <row r="266" spans="1:6" ht="28" x14ac:dyDescent="0.3">
      <c r="A266" s="6" t="s">
        <v>13</v>
      </c>
      <c r="B266" s="6" t="s">
        <v>95</v>
      </c>
      <c r="C266" s="6">
        <v>2014</v>
      </c>
      <c r="D266" s="6" t="s">
        <v>1</v>
      </c>
      <c r="E266" s="6" t="s">
        <v>5</v>
      </c>
      <c r="F266" s="7">
        <v>6</v>
      </c>
    </row>
    <row r="267" spans="1:6" ht="28" x14ac:dyDescent="0.3">
      <c r="A267" s="6" t="s">
        <v>13</v>
      </c>
      <c r="B267" s="6" t="s">
        <v>96</v>
      </c>
      <c r="C267" s="6">
        <v>2014</v>
      </c>
      <c r="D267" s="6" t="s">
        <v>1</v>
      </c>
      <c r="E267" s="6" t="s">
        <v>5</v>
      </c>
      <c r="F267" s="7">
        <v>26</v>
      </c>
    </row>
    <row r="268" spans="1:6" ht="28" x14ac:dyDescent="0.3">
      <c r="A268" s="6" t="s">
        <v>13</v>
      </c>
      <c r="B268" s="6" t="s">
        <v>97</v>
      </c>
      <c r="C268" s="6">
        <v>2014</v>
      </c>
      <c r="D268" s="6" t="s">
        <v>1</v>
      </c>
      <c r="E268" s="6" t="s">
        <v>5</v>
      </c>
      <c r="F268" s="7">
        <v>38</v>
      </c>
    </row>
    <row r="269" spans="1:6" ht="28" x14ac:dyDescent="0.3">
      <c r="A269" s="6" t="s">
        <v>14</v>
      </c>
      <c r="B269" s="6" t="s">
        <v>100</v>
      </c>
      <c r="C269" s="6">
        <v>2014</v>
      </c>
      <c r="D269" s="6" t="s">
        <v>1</v>
      </c>
      <c r="E269" s="6" t="s">
        <v>5</v>
      </c>
      <c r="F269" s="7">
        <v>101</v>
      </c>
    </row>
    <row r="270" spans="1:6" ht="28" x14ac:dyDescent="0.3">
      <c r="A270" s="6" t="s">
        <v>14</v>
      </c>
      <c r="B270" s="6" t="s">
        <v>101</v>
      </c>
      <c r="C270" s="6">
        <v>2014</v>
      </c>
      <c r="D270" s="6" t="s">
        <v>1</v>
      </c>
      <c r="E270" s="6" t="s">
        <v>5</v>
      </c>
      <c r="F270" s="7">
        <v>17</v>
      </c>
    </row>
    <row r="271" spans="1:6" ht="28" x14ac:dyDescent="0.3">
      <c r="A271" s="6" t="s">
        <v>14</v>
      </c>
      <c r="B271" s="6" t="s">
        <v>102</v>
      </c>
      <c r="C271" s="6">
        <v>2014</v>
      </c>
      <c r="D271" s="6" t="s">
        <v>1</v>
      </c>
      <c r="E271" s="6" t="s">
        <v>5</v>
      </c>
      <c r="F271" s="7">
        <v>1253</v>
      </c>
    </row>
    <row r="272" spans="1:6" ht="28" x14ac:dyDescent="0.3">
      <c r="A272" s="6" t="s">
        <v>14</v>
      </c>
      <c r="B272" s="6" t="s">
        <v>103</v>
      </c>
      <c r="C272" s="6">
        <v>2014</v>
      </c>
      <c r="D272" s="6" t="s">
        <v>1</v>
      </c>
      <c r="E272" s="6" t="s">
        <v>5</v>
      </c>
      <c r="F272" s="7">
        <v>80</v>
      </c>
    </row>
    <row r="273" spans="1:6" ht="28" x14ac:dyDescent="0.3">
      <c r="A273" s="6" t="s">
        <v>14</v>
      </c>
      <c r="B273" s="6" t="s">
        <v>104</v>
      </c>
      <c r="C273" s="6">
        <v>2014</v>
      </c>
      <c r="D273" s="6" t="s">
        <v>1</v>
      </c>
      <c r="E273" s="6" t="s">
        <v>5</v>
      </c>
      <c r="F273" s="7">
        <v>160</v>
      </c>
    </row>
    <row r="274" spans="1:6" ht="28" x14ac:dyDescent="0.3">
      <c r="A274" s="6" t="s">
        <v>14</v>
      </c>
      <c r="B274" s="6" t="s">
        <v>105</v>
      </c>
      <c r="C274" s="6">
        <v>2014</v>
      </c>
      <c r="D274" s="6" t="s">
        <v>1</v>
      </c>
      <c r="E274" s="6" t="s">
        <v>5</v>
      </c>
      <c r="F274" s="7">
        <v>143</v>
      </c>
    </row>
    <row r="275" spans="1:6" ht="28" x14ac:dyDescent="0.3">
      <c r="A275" s="6" t="s">
        <v>15</v>
      </c>
      <c r="B275" s="6" t="s">
        <v>106</v>
      </c>
      <c r="C275" s="6">
        <v>2014</v>
      </c>
      <c r="D275" s="6" t="s">
        <v>1</v>
      </c>
      <c r="E275" s="6" t="s">
        <v>5</v>
      </c>
      <c r="F275" s="7">
        <v>49</v>
      </c>
    </row>
    <row r="276" spans="1:6" ht="28" x14ac:dyDescent="0.3">
      <c r="A276" s="6" t="s">
        <v>15</v>
      </c>
      <c r="B276" s="6" t="s">
        <v>107</v>
      </c>
      <c r="C276" s="6">
        <v>2014</v>
      </c>
      <c r="D276" s="6" t="s">
        <v>1</v>
      </c>
      <c r="E276" s="6" t="s">
        <v>5</v>
      </c>
      <c r="F276" s="7">
        <v>5</v>
      </c>
    </row>
    <row r="277" spans="1:6" ht="28" x14ac:dyDescent="0.3">
      <c r="A277" s="6" t="s">
        <v>15</v>
      </c>
      <c r="B277" s="6" t="s">
        <v>108</v>
      </c>
      <c r="C277" s="6">
        <v>2014</v>
      </c>
      <c r="D277" s="6" t="s">
        <v>1</v>
      </c>
      <c r="E277" s="6" t="s">
        <v>5</v>
      </c>
      <c r="F277" s="7">
        <v>41</v>
      </c>
    </row>
    <row r="278" spans="1:6" ht="28" x14ac:dyDescent="0.3">
      <c r="A278" s="6" t="s">
        <v>6</v>
      </c>
      <c r="B278" s="6" t="s">
        <v>17</v>
      </c>
      <c r="C278" s="6">
        <v>2014</v>
      </c>
      <c r="D278" s="6" t="s">
        <v>1</v>
      </c>
      <c r="E278" s="6" t="s">
        <v>4</v>
      </c>
      <c r="F278" s="7">
        <v>8</v>
      </c>
    </row>
    <row r="279" spans="1:6" ht="28" x14ac:dyDescent="0.3">
      <c r="A279" s="6" t="s">
        <v>6</v>
      </c>
      <c r="B279" s="6" t="s">
        <v>18</v>
      </c>
      <c r="C279" s="6">
        <v>2014</v>
      </c>
      <c r="D279" s="6" t="s">
        <v>1</v>
      </c>
      <c r="E279" s="6" t="s">
        <v>4</v>
      </c>
      <c r="F279" s="7">
        <v>1691</v>
      </c>
    </row>
    <row r="280" spans="1:6" ht="28" x14ac:dyDescent="0.3">
      <c r="A280" s="6" t="s">
        <v>6</v>
      </c>
      <c r="B280" s="6" t="s">
        <v>19</v>
      </c>
      <c r="C280" s="6">
        <v>2014</v>
      </c>
      <c r="D280" s="6" t="s">
        <v>1</v>
      </c>
      <c r="E280" s="6" t="s">
        <v>4</v>
      </c>
      <c r="F280" s="7">
        <v>1163</v>
      </c>
    </row>
    <row r="281" spans="1:6" ht="28" x14ac:dyDescent="0.3">
      <c r="A281" s="6" t="s">
        <v>6</v>
      </c>
      <c r="B281" s="6" t="s">
        <v>20</v>
      </c>
      <c r="C281" s="6">
        <v>2014</v>
      </c>
      <c r="D281" s="6" t="s">
        <v>1</v>
      </c>
      <c r="E281" s="6" t="s">
        <v>4</v>
      </c>
      <c r="F281" s="7">
        <v>2021</v>
      </c>
    </row>
    <row r="282" spans="1:6" ht="28" x14ac:dyDescent="0.3">
      <c r="A282" s="6" t="s">
        <v>7</v>
      </c>
      <c r="B282" s="6" t="s">
        <v>21</v>
      </c>
      <c r="C282" s="6">
        <v>2014</v>
      </c>
      <c r="D282" s="6" t="s">
        <v>1</v>
      </c>
      <c r="E282" s="6" t="s">
        <v>4</v>
      </c>
      <c r="F282" s="7">
        <v>1034</v>
      </c>
    </row>
    <row r="283" spans="1:6" ht="28" x14ac:dyDescent="0.3">
      <c r="A283" s="6" t="s">
        <v>7</v>
      </c>
      <c r="B283" s="6" t="s">
        <v>22</v>
      </c>
      <c r="C283" s="6">
        <v>2014</v>
      </c>
      <c r="D283" s="6" t="s">
        <v>1</v>
      </c>
      <c r="E283" s="6" t="s">
        <v>4</v>
      </c>
      <c r="F283" s="7">
        <v>6</v>
      </c>
    </row>
    <row r="284" spans="1:6" ht="28" x14ac:dyDescent="0.3">
      <c r="A284" s="6" t="s">
        <v>7</v>
      </c>
      <c r="B284" s="6" t="s">
        <v>23</v>
      </c>
      <c r="C284" s="6">
        <v>2014</v>
      </c>
      <c r="D284" s="6" t="s">
        <v>1</v>
      </c>
      <c r="E284" s="6" t="s">
        <v>4</v>
      </c>
      <c r="F284" s="7">
        <v>5</v>
      </c>
    </row>
    <row r="285" spans="1:6" ht="28" x14ac:dyDescent="0.3">
      <c r="A285" s="6" t="s">
        <v>8</v>
      </c>
      <c r="B285" s="6" t="s">
        <v>24</v>
      </c>
      <c r="C285" s="6">
        <v>2014</v>
      </c>
      <c r="D285" s="6" t="s">
        <v>1</v>
      </c>
      <c r="E285" s="6" t="s">
        <v>4</v>
      </c>
      <c r="F285" s="7">
        <v>73</v>
      </c>
    </row>
    <row r="286" spans="1:6" ht="28" x14ac:dyDescent="0.3">
      <c r="A286" s="6" t="s">
        <v>8</v>
      </c>
      <c r="B286" s="6" t="s">
        <v>25</v>
      </c>
      <c r="C286" s="6">
        <v>2014</v>
      </c>
      <c r="D286" s="6" t="s">
        <v>1</v>
      </c>
      <c r="E286" s="6" t="s">
        <v>4</v>
      </c>
      <c r="F286" s="7">
        <v>28</v>
      </c>
    </row>
    <row r="287" spans="1:6" ht="28" x14ac:dyDescent="0.3">
      <c r="A287" s="6" t="s">
        <v>9</v>
      </c>
      <c r="B287" s="6" t="s">
        <v>26</v>
      </c>
      <c r="C287" s="6">
        <v>2014</v>
      </c>
      <c r="D287" s="6" t="s">
        <v>1</v>
      </c>
      <c r="E287" s="6" t="s">
        <v>4</v>
      </c>
      <c r="F287" s="7">
        <v>6</v>
      </c>
    </row>
    <row r="288" spans="1:6" ht="28" x14ac:dyDescent="0.3">
      <c r="A288" s="6" t="s">
        <v>9</v>
      </c>
      <c r="B288" s="6" t="s">
        <v>35</v>
      </c>
      <c r="C288" s="6">
        <v>2014</v>
      </c>
      <c r="D288" s="6" t="s">
        <v>1</v>
      </c>
      <c r="E288" s="6" t="s">
        <v>4</v>
      </c>
      <c r="F288" s="7">
        <v>6</v>
      </c>
    </row>
    <row r="289" spans="1:6" ht="28" x14ac:dyDescent="0.3">
      <c r="A289" s="6" t="s">
        <v>9</v>
      </c>
      <c r="B289" s="6" t="s">
        <v>36</v>
      </c>
      <c r="C289" s="6">
        <v>2014</v>
      </c>
      <c r="D289" s="6" t="s">
        <v>1</v>
      </c>
      <c r="E289" s="6" t="s">
        <v>4</v>
      </c>
      <c r="F289" s="7">
        <v>9</v>
      </c>
    </row>
    <row r="290" spans="1:6" ht="28" x14ac:dyDescent="0.3">
      <c r="A290" s="6" t="s">
        <v>9</v>
      </c>
      <c r="B290" s="6" t="s">
        <v>37</v>
      </c>
      <c r="C290" s="6">
        <v>2014</v>
      </c>
      <c r="D290" s="6" t="s">
        <v>1</v>
      </c>
      <c r="E290" s="6" t="s">
        <v>4</v>
      </c>
      <c r="F290" s="7">
        <v>5</v>
      </c>
    </row>
    <row r="291" spans="1:6" ht="28" x14ac:dyDescent="0.3">
      <c r="A291" s="6" t="s">
        <v>9</v>
      </c>
      <c r="B291" s="6" t="s">
        <v>38</v>
      </c>
      <c r="C291" s="6">
        <v>2014</v>
      </c>
      <c r="D291" s="6" t="s">
        <v>1</v>
      </c>
      <c r="E291" s="6" t="s">
        <v>4</v>
      </c>
      <c r="F291" s="7">
        <v>192</v>
      </c>
    </row>
    <row r="292" spans="1:6" ht="28" x14ac:dyDescent="0.3">
      <c r="A292" s="6" t="s">
        <v>9</v>
      </c>
      <c r="B292" s="6" t="s">
        <v>39</v>
      </c>
      <c r="C292" s="6">
        <v>2014</v>
      </c>
      <c r="D292" s="6" t="s">
        <v>1</v>
      </c>
      <c r="E292" s="6" t="s">
        <v>4</v>
      </c>
      <c r="F292" s="7">
        <v>5</v>
      </c>
    </row>
    <row r="293" spans="1:6" ht="28" x14ac:dyDescent="0.3">
      <c r="A293" s="6" t="s">
        <v>9</v>
      </c>
      <c r="B293" s="6" t="s">
        <v>40</v>
      </c>
      <c r="C293" s="6">
        <v>2014</v>
      </c>
      <c r="D293" s="6" t="s">
        <v>1</v>
      </c>
      <c r="E293" s="6" t="s">
        <v>4</v>
      </c>
      <c r="F293" s="7">
        <v>6</v>
      </c>
    </row>
    <row r="294" spans="1:6" ht="28" x14ac:dyDescent="0.3">
      <c r="A294" s="6" t="s">
        <v>9</v>
      </c>
      <c r="B294" s="6" t="s">
        <v>41</v>
      </c>
      <c r="C294" s="6">
        <v>2014</v>
      </c>
      <c r="D294" s="6" t="s">
        <v>1</v>
      </c>
      <c r="E294" s="6" t="s">
        <v>4</v>
      </c>
      <c r="F294" s="7">
        <v>317</v>
      </c>
    </row>
    <row r="295" spans="1:6" ht="28" x14ac:dyDescent="0.3">
      <c r="A295" s="6" t="s">
        <v>9</v>
      </c>
      <c r="B295" s="6" t="s">
        <v>42</v>
      </c>
      <c r="C295" s="6">
        <v>2014</v>
      </c>
      <c r="D295" s="6" t="s">
        <v>1</v>
      </c>
      <c r="E295" s="6" t="s">
        <v>4</v>
      </c>
      <c r="F295" s="7">
        <v>544</v>
      </c>
    </row>
    <row r="296" spans="1:6" ht="28" x14ac:dyDescent="0.3">
      <c r="A296" s="6" t="s">
        <v>9</v>
      </c>
      <c r="B296" s="6" t="s">
        <v>43</v>
      </c>
      <c r="C296" s="6">
        <v>2014</v>
      </c>
      <c r="D296" s="6" t="s">
        <v>1</v>
      </c>
      <c r="E296" s="6" t="s">
        <v>4</v>
      </c>
      <c r="F296" s="7">
        <v>220</v>
      </c>
    </row>
    <row r="297" spans="1:6" ht="28" x14ac:dyDescent="0.3">
      <c r="A297" s="6" t="s">
        <v>9</v>
      </c>
      <c r="B297" s="6" t="s">
        <v>44</v>
      </c>
      <c r="C297" s="6">
        <v>2014</v>
      </c>
      <c r="D297" s="6" t="s">
        <v>1</v>
      </c>
      <c r="E297" s="6" t="s">
        <v>4</v>
      </c>
      <c r="F297" s="7">
        <v>81</v>
      </c>
    </row>
    <row r="298" spans="1:6" ht="28" x14ac:dyDescent="0.3">
      <c r="A298" s="6" t="s">
        <v>9</v>
      </c>
      <c r="B298" s="6" t="s">
        <v>27</v>
      </c>
      <c r="C298" s="6">
        <v>2014</v>
      </c>
      <c r="D298" s="6" t="s">
        <v>1</v>
      </c>
      <c r="E298" s="6" t="s">
        <v>4</v>
      </c>
      <c r="F298" s="7">
        <v>31</v>
      </c>
    </row>
    <row r="299" spans="1:6" ht="28" x14ac:dyDescent="0.3">
      <c r="A299" s="6" t="s">
        <v>9</v>
      </c>
      <c r="B299" s="6" t="s">
        <v>45</v>
      </c>
      <c r="C299" s="6">
        <v>2014</v>
      </c>
      <c r="D299" s="6" t="s">
        <v>1</v>
      </c>
      <c r="E299" s="6" t="s">
        <v>4</v>
      </c>
      <c r="F299" s="7">
        <v>5</v>
      </c>
    </row>
    <row r="300" spans="1:6" ht="28" x14ac:dyDescent="0.3">
      <c r="A300" s="6" t="s">
        <v>9</v>
      </c>
      <c r="B300" s="6" t="s">
        <v>46</v>
      </c>
      <c r="C300" s="6">
        <v>2014</v>
      </c>
      <c r="D300" s="6" t="s">
        <v>1</v>
      </c>
      <c r="E300" s="6" t="s">
        <v>4</v>
      </c>
      <c r="F300" s="7">
        <v>253</v>
      </c>
    </row>
    <row r="301" spans="1:6" ht="28" x14ac:dyDescent="0.3">
      <c r="A301" s="6" t="s">
        <v>9</v>
      </c>
      <c r="B301" s="6" t="s">
        <v>47</v>
      </c>
      <c r="C301" s="6">
        <v>2014</v>
      </c>
      <c r="D301" s="6" t="s">
        <v>1</v>
      </c>
      <c r="E301" s="6" t="s">
        <v>4</v>
      </c>
      <c r="F301" s="7">
        <v>7</v>
      </c>
    </row>
    <row r="302" spans="1:6" ht="28" x14ac:dyDescent="0.3">
      <c r="A302" s="6" t="s">
        <v>9</v>
      </c>
      <c r="B302" s="6" t="s">
        <v>48</v>
      </c>
      <c r="C302" s="6">
        <v>2014</v>
      </c>
      <c r="D302" s="6" t="s">
        <v>1</v>
      </c>
      <c r="E302" s="6" t="s">
        <v>4</v>
      </c>
      <c r="F302" s="7">
        <v>69</v>
      </c>
    </row>
    <row r="303" spans="1:6" ht="28" x14ac:dyDescent="0.3">
      <c r="A303" s="6" t="s">
        <v>9</v>
      </c>
      <c r="B303" s="6" t="s">
        <v>49</v>
      </c>
      <c r="C303" s="6">
        <v>2014</v>
      </c>
      <c r="D303" s="6" t="s">
        <v>1</v>
      </c>
      <c r="E303" s="6" t="s">
        <v>4</v>
      </c>
      <c r="F303" s="7">
        <v>179</v>
      </c>
    </row>
    <row r="304" spans="1:6" ht="28" x14ac:dyDescent="0.3">
      <c r="A304" s="6" t="s">
        <v>9</v>
      </c>
      <c r="B304" s="6" t="s">
        <v>50</v>
      </c>
      <c r="C304" s="6">
        <v>2014</v>
      </c>
      <c r="D304" s="6" t="s">
        <v>1</v>
      </c>
      <c r="E304" s="6" t="s">
        <v>4</v>
      </c>
      <c r="F304" s="7">
        <v>357</v>
      </c>
    </row>
    <row r="305" spans="1:6" ht="28" x14ac:dyDescent="0.3">
      <c r="A305" s="6" t="s">
        <v>9</v>
      </c>
      <c r="B305" s="6" t="s">
        <v>51</v>
      </c>
      <c r="C305" s="6">
        <v>2014</v>
      </c>
      <c r="D305" s="6" t="s">
        <v>1</v>
      </c>
      <c r="E305" s="6" t="s">
        <v>4</v>
      </c>
      <c r="F305" s="7">
        <v>501</v>
      </c>
    </row>
    <row r="306" spans="1:6" ht="28" x14ac:dyDescent="0.3">
      <c r="A306" s="6" t="s">
        <v>9</v>
      </c>
      <c r="B306" s="6" t="s">
        <v>52</v>
      </c>
      <c r="C306" s="6">
        <v>2014</v>
      </c>
      <c r="D306" s="6" t="s">
        <v>1</v>
      </c>
      <c r="E306" s="6" t="s">
        <v>4</v>
      </c>
      <c r="F306" s="7">
        <v>482</v>
      </c>
    </row>
    <row r="307" spans="1:6" ht="28" x14ac:dyDescent="0.3">
      <c r="A307" s="6" t="s">
        <v>9</v>
      </c>
      <c r="B307" s="6" t="s">
        <v>53</v>
      </c>
      <c r="C307" s="6">
        <v>2014</v>
      </c>
      <c r="D307" s="6" t="s">
        <v>1</v>
      </c>
      <c r="E307" s="6" t="s">
        <v>4</v>
      </c>
      <c r="F307" s="7">
        <v>409</v>
      </c>
    </row>
    <row r="308" spans="1:6" ht="28" x14ac:dyDescent="0.3">
      <c r="A308" s="6" t="s">
        <v>9</v>
      </c>
      <c r="B308" s="6" t="s">
        <v>54</v>
      </c>
      <c r="C308" s="6">
        <v>2014</v>
      </c>
      <c r="D308" s="6" t="s">
        <v>1</v>
      </c>
      <c r="E308" s="6" t="s">
        <v>4</v>
      </c>
      <c r="F308" s="7">
        <v>102</v>
      </c>
    </row>
    <row r="309" spans="1:6" ht="28" x14ac:dyDescent="0.3">
      <c r="A309" s="6" t="s">
        <v>9</v>
      </c>
      <c r="B309" s="6" t="s">
        <v>28</v>
      </c>
      <c r="C309" s="6">
        <v>2014</v>
      </c>
      <c r="D309" s="6" t="s">
        <v>1</v>
      </c>
      <c r="E309" s="6" t="s">
        <v>4</v>
      </c>
      <c r="F309" s="7">
        <v>99</v>
      </c>
    </row>
    <row r="310" spans="1:6" ht="28" x14ac:dyDescent="0.3">
      <c r="A310" s="6" t="s">
        <v>9</v>
      </c>
      <c r="B310" s="6" t="s">
        <v>55</v>
      </c>
      <c r="C310" s="6">
        <v>2014</v>
      </c>
      <c r="D310" s="6" t="s">
        <v>1</v>
      </c>
      <c r="E310" s="6" t="s">
        <v>4</v>
      </c>
      <c r="F310" s="7">
        <v>225</v>
      </c>
    </row>
    <row r="311" spans="1:6" ht="28" x14ac:dyDescent="0.3">
      <c r="A311" s="6" t="s">
        <v>9</v>
      </c>
      <c r="B311" s="6" t="s">
        <v>56</v>
      </c>
      <c r="C311" s="6">
        <v>2014</v>
      </c>
      <c r="D311" s="6" t="s">
        <v>1</v>
      </c>
      <c r="E311" s="6" t="s">
        <v>4</v>
      </c>
      <c r="F311" s="7">
        <v>391</v>
      </c>
    </row>
    <row r="312" spans="1:6" ht="28" x14ac:dyDescent="0.3">
      <c r="A312" s="6" t="s">
        <v>9</v>
      </c>
      <c r="B312" s="6" t="s">
        <v>57</v>
      </c>
      <c r="C312" s="6">
        <v>2014</v>
      </c>
      <c r="D312" s="6" t="s">
        <v>1</v>
      </c>
      <c r="E312" s="6" t="s">
        <v>4</v>
      </c>
      <c r="F312" s="7">
        <v>142</v>
      </c>
    </row>
    <row r="313" spans="1:6" ht="28" x14ac:dyDescent="0.3">
      <c r="A313" s="6" t="s">
        <v>9</v>
      </c>
      <c r="B313" s="6" t="s">
        <v>58</v>
      </c>
      <c r="C313" s="6">
        <v>2014</v>
      </c>
      <c r="D313" s="6" t="s">
        <v>1</v>
      </c>
      <c r="E313" s="6" t="s">
        <v>4</v>
      </c>
      <c r="F313" s="7">
        <v>377</v>
      </c>
    </row>
    <row r="314" spans="1:6" ht="28" x14ac:dyDescent="0.3">
      <c r="A314" s="6" t="s">
        <v>9</v>
      </c>
      <c r="B314" s="6" t="s">
        <v>29</v>
      </c>
      <c r="C314" s="6">
        <v>2014</v>
      </c>
      <c r="D314" s="6" t="s">
        <v>1</v>
      </c>
      <c r="E314" s="6" t="s">
        <v>4</v>
      </c>
      <c r="F314" s="7">
        <v>6</v>
      </c>
    </row>
    <row r="315" spans="1:6" ht="28" x14ac:dyDescent="0.3">
      <c r="A315" s="6" t="s">
        <v>9</v>
      </c>
      <c r="B315" s="6" t="s">
        <v>30</v>
      </c>
      <c r="C315" s="6">
        <v>2014</v>
      </c>
      <c r="D315" s="6" t="s">
        <v>1</v>
      </c>
      <c r="E315" s="6" t="s">
        <v>4</v>
      </c>
      <c r="F315" s="7">
        <v>6</v>
      </c>
    </row>
    <row r="316" spans="1:6" ht="28" x14ac:dyDescent="0.3">
      <c r="A316" s="6" t="s">
        <v>9</v>
      </c>
      <c r="B316" s="6" t="s">
        <v>31</v>
      </c>
      <c r="C316" s="6">
        <v>2014</v>
      </c>
      <c r="D316" s="6" t="s">
        <v>1</v>
      </c>
      <c r="E316" s="6" t="s">
        <v>4</v>
      </c>
      <c r="F316" s="7">
        <v>263</v>
      </c>
    </row>
    <row r="317" spans="1:6" ht="28" x14ac:dyDescent="0.3">
      <c r="A317" s="6" t="s">
        <v>9</v>
      </c>
      <c r="B317" s="6" t="s">
        <v>32</v>
      </c>
      <c r="C317" s="6">
        <v>2014</v>
      </c>
      <c r="D317" s="6" t="s">
        <v>1</v>
      </c>
      <c r="E317" s="6" t="s">
        <v>4</v>
      </c>
      <c r="F317" s="7">
        <v>6</v>
      </c>
    </row>
    <row r="318" spans="1:6" ht="28" x14ac:dyDescent="0.3">
      <c r="A318" s="6" t="s">
        <v>9</v>
      </c>
      <c r="B318" s="6" t="s">
        <v>33</v>
      </c>
      <c r="C318" s="6">
        <v>2014</v>
      </c>
      <c r="D318" s="6" t="s">
        <v>1</v>
      </c>
      <c r="E318" s="6" t="s">
        <v>4</v>
      </c>
      <c r="F318" s="7">
        <v>7</v>
      </c>
    </row>
    <row r="319" spans="1:6" ht="28" x14ac:dyDescent="0.3">
      <c r="A319" s="6" t="s">
        <v>9</v>
      </c>
      <c r="B319" s="6" t="s">
        <v>34</v>
      </c>
      <c r="C319" s="6">
        <v>2014</v>
      </c>
      <c r="D319" s="6" t="s">
        <v>1</v>
      </c>
      <c r="E319" s="6" t="s">
        <v>4</v>
      </c>
      <c r="F319" s="7">
        <v>10</v>
      </c>
    </row>
    <row r="320" spans="1:6" ht="28" x14ac:dyDescent="0.3">
      <c r="A320" s="6" t="s">
        <v>10</v>
      </c>
      <c r="B320" s="6" t="s">
        <v>59</v>
      </c>
      <c r="C320" s="6">
        <v>2014</v>
      </c>
      <c r="D320" s="6" t="s">
        <v>1</v>
      </c>
      <c r="E320" s="6" t="s">
        <v>4</v>
      </c>
      <c r="F320" s="7">
        <v>74</v>
      </c>
    </row>
    <row r="321" spans="1:6" ht="28" x14ac:dyDescent="0.3">
      <c r="A321" s="6" t="s">
        <v>10</v>
      </c>
      <c r="B321" s="6" t="s">
        <v>60</v>
      </c>
      <c r="C321" s="6">
        <v>2014</v>
      </c>
      <c r="D321" s="6" t="s">
        <v>1</v>
      </c>
      <c r="E321" s="6" t="s">
        <v>4</v>
      </c>
      <c r="F321" s="7">
        <v>7</v>
      </c>
    </row>
    <row r="322" spans="1:6" ht="28" x14ac:dyDescent="0.3">
      <c r="A322" s="6" t="s">
        <v>10</v>
      </c>
      <c r="B322" s="6" t="s">
        <v>61</v>
      </c>
      <c r="C322" s="6">
        <v>2014</v>
      </c>
      <c r="D322" s="6" t="s">
        <v>1</v>
      </c>
      <c r="E322" s="6" t="s">
        <v>4</v>
      </c>
      <c r="F322" s="7">
        <v>9</v>
      </c>
    </row>
    <row r="323" spans="1:6" ht="28" x14ac:dyDescent="0.3">
      <c r="A323" s="6" t="s">
        <v>10</v>
      </c>
      <c r="B323" s="6" t="s">
        <v>62</v>
      </c>
      <c r="C323" s="6">
        <v>2014</v>
      </c>
      <c r="D323" s="6" t="s">
        <v>1</v>
      </c>
      <c r="E323" s="6" t="s">
        <v>4</v>
      </c>
      <c r="F323" s="7">
        <v>6</v>
      </c>
    </row>
    <row r="324" spans="1:6" ht="28" x14ac:dyDescent="0.3">
      <c r="A324" s="6" t="s">
        <v>10</v>
      </c>
      <c r="B324" s="6" t="s">
        <v>63</v>
      </c>
      <c r="C324" s="6">
        <v>2014</v>
      </c>
      <c r="D324" s="6" t="s">
        <v>1</v>
      </c>
      <c r="E324" s="6" t="s">
        <v>4</v>
      </c>
      <c r="F324" s="7">
        <v>25</v>
      </c>
    </row>
    <row r="325" spans="1:6" ht="28" x14ac:dyDescent="0.3">
      <c r="A325" s="6" t="s">
        <v>10</v>
      </c>
      <c r="B325" s="6" t="s">
        <v>64</v>
      </c>
      <c r="C325" s="6">
        <v>2014</v>
      </c>
      <c r="D325" s="6" t="s">
        <v>1</v>
      </c>
      <c r="E325" s="6" t="s">
        <v>4</v>
      </c>
      <c r="F325" s="7">
        <v>6</v>
      </c>
    </row>
    <row r="326" spans="1:6" ht="28" x14ac:dyDescent="0.3">
      <c r="A326" s="6" t="s">
        <v>10</v>
      </c>
      <c r="B326" s="6" t="s">
        <v>65</v>
      </c>
      <c r="C326" s="6">
        <v>2014</v>
      </c>
      <c r="D326" s="6" t="s">
        <v>1</v>
      </c>
      <c r="E326" s="6" t="s">
        <v>4</v>
      </c>
      <c r="F326" s="7">
        <v>521</v>
      </c>
    </row>
    <row r="327" spans="1:6" ht="28" x14ac:dyDescent="0.3">
      <c r="A327" s="6" t="s">
        <v>10</v>
      </c>
      <c r="B327" s="6" t="s">
        <v>66</v>
      </c>
      <c r="C327" s="6">
        <v>2014</v>
      </c>
      <c r="D327" s="6" t="s">
        <v>1</v>
      </c>
      <c r="E327" s="6" t="s">
        <v>4</v>
      </c>
      <c r="F327" s="7">
        <v>6</v>
      </c>
    </row>
    <row r="328" spans="1:6" ht="28" x14ac:dyDescent="0.3">
      <c r="A328" s="6" t="s">
        <v>11</v>
      </c>
      <c r="B328" s="6" t="s">
        <v>67</v>
      </c>
      <c r="C328" s="6">
        <v>2014</v>
      </c>
      <c r="D328" s="6" t="s">
        <v>1</v>
      </c>
      <c r="E328" s="6" t="s">
        <v>4</v>
      </c>
      <c r="F328" s="7">
        <v>13</v>
      </c>
    </row>
    <row r="329" spans="1:6" ht="28" x14ac:dyDescent="0.3">
      <c r="A329" s="6" t="s">
        <v>11</v>
      </c>
      <c r="B329" s="6" t="s">
        <v>76</v>
      </c>
      <c r="C329" s="6">
        <v>2014</v>
      </c>
      <c r="D329" s="6" t="s">
        <v>1</v>
      </c>
      <c r="E329" s="6" t="s">
        <v>4</v>
      </c>
      <c r="F329" s="7">
        <v>7</v>
      </c>
    </row>
    <row r="330" spans="1:6" ht="28" x14ac:dyDescent="0.3">
      <c r="A330" s="6" t="s">
        <v>11</v>
      </c>
      <c r="B330" s="6" t="s">
        <v>77</v>
      </c>
      <c r="C330" s="6">
        <v>2014</v>
      </c>
      <c r="D330" s="6" t="s">
        <v>1</v>
      </c>
      <c r="E330" s="6" t="s">
        <v>4</v>
      </c>
      <c r="F330" s="7">
        <v>7</v>
      </c>
    </row>
    <row r="331" spans="1:6" ht="28" x14ac:dyDescent="0.3">
      <c r="A331" s="6" t="s">
        <v>11</v>
      </c>
      <c r="B331" s="6" t="s">
        <v>78</v>
      </c>
      <c r="C331" s="6">
        <v>2014</v>
      </c>
      <c r="D331" s="6" t="s">
        <v>1</v>
      </c>
      <c r="E331" s="6" t="s">
        <v>4</v>
      </c>
      <c r="F331" s="7">
        <v>6</v>
      </c>
    </row>
    <row r="332" spans="1:6" ht="28" x14ac:dyDescent="0.3">
      <c r="A332" s="6" t="s">
        <v>11</v>
      </c>
      <c r="B332" s="6" t="s">
        <v>79</v>
      </c>
      <c r="C332" s="6">
        <v>2014</v>
      </c>
      <c r="D332" s="6" t="s">
        <v>1</v>
      </c>
      <c r="E332" s="6" t="s">
        <v>4</v>
      </c>
      <c r="F332" s="7">
        <v>6</v>
      </c>
    </row>
    <row r="333" spans="1:6" ht="28" x14ac:dyDescent="0.3">
      <c r="A333" s="6" t="s">
        <v>11</v>
      </c>
      <c r="B333" s="6" t="s">
        <v>80</v>
      </c>
      <c r="C333" s="6">
        <v>2014</v>
      </c>
      <c r="D333" s="6" t="s">
        <v>1</v>
      </c>
      <c r="E333" s="6" t="s">
        <v>4</v>
      </c>
      <c r="F333" s="7">
        <v>6</v>
      </c>
    </row>
    <row r="334" spans="1:6" ht="28" x14ac:dyDescent="0.3">
      <c r="A334" s="6" t="s">
        <v>11</v>
      </c>
      <c r="B334" s="6" t="s">
        <v>68</v>
      </c>
      <c r="C334" s="6">
        <v>2014</v>
      </c>
      <c r="D334" s="6" t="s">
        <v>1</v>
      </c>
      <c r="E334" s="6" t="s">
        <v>4</v>
      </c>
      <c r="F334" s="7">
        <v>6</v>
      </c>
    </row>
    <row r="335" spans="1:6" ht="28" x14ac:dyDescent="0.3">
      <c r="A335" s="6" t="s">
        <v>11</v>
      </c>
      <c r="B335" s="6" t="s">
        <v>69</v>
      </c>
      <c r="C335" s="6">
        <v>2014</v>
      </c>
      <c r="D335" s="6" t="s">
        <v>1</v>
      </c>
      <c r="E335" s="6" t="s">
        <v>4</v>
      </c>
      <c r="F335" s="7">
        <v>202</v>
      </c>
    </row>
    <row r="336" spans="1:6" ht="28" x14ac:dyDescent="0.3">
      <c r="A336" s="6" t="s">
        <v>11</v>
      </c>
      <c r="B336" s="6" t="s">
        <v>70</v>
      </c>
      <c r="C336" s="6">
        <v>2014</v>
      </c>
      <c r="D336" s="6" t="s">
        <v>1</v>
      </c>
      <c r="E336" s="6" t="s">
        <v>4</v>
      </c>
      <c r="F336" s="7">
        <v>15</v>
      </c>
    </row>
    <row r="337" spans="1:6" ht="28" x14ac:dyDescent="0.3">
      <c r="A337" s="6" t="s">
        <v>11</v>
      </c>
      <c r="B337" s="6" t="s">
        <v>71</v>
      </c>
      <c r="C337" s="6">
        <v>2014</v>
      </c>
      <c r="D337" s="6" t="s">
        <v>1</v>
      </c>
      <c r="E337" s="6" t="s">
        <v>4</v>
      </c>
      <c r="F337" s="7">
        <v>5</v>
      </c>
    </row>
    <row r="338" spans="1:6" ht="28" x14ac:dyDescent="0.3">
      <c r="A338" s="6" t="s">
        <v>11</v>
      </c>
      <c r="B338" s="6" t="s">
        <v>72</v>
      </c>
      <c r="C338" s="6">
        <v>2014</v>
      </c>
      <c r="D338" s="6" t="s">
        <v>1</v>
      </c>
      <c r="E338" s="6" t="s">
        <v>4</v>
      </c>
      <c r="F338" s="7">
        <v>21</v>
      </c>
    </row>
    <row r="339" spans="1:6" ht="28" x14ac:dyDescent="0.3">
      <c r="A339" s="6" t="s">
        <v>11</v>
      </c>
      <c r="B339" s="6" t="s">
        <v>73</v>
      </c>
      <c r="C339" s="6">
        <v>2014</v>
      </c>
      <c r="D339" s="6" t="s">
        <v>1</v>
      </c>
      <c r="E339" s="6" t="s">
        <v>4</v>
      </c>
      <c r="F339" s="7">
        <v>9</v>
      </c>
    </row>
    <row r="340" spans="1:6" ht="28" x14ac:dyDescent="0.3">
      <c r="A340" s="6" t="s">
        <v>11</v>
      </c>
      <c r="B340" s="6" t="s">
        <v>74</v>
      </c>
      <c r="C340" s="6">
        <v>2014</v>
      </c>
      <c r="D340" s="6" t="s">
        <v>1</v>
      </c>
      <c r="E340" s="6" t="s">
        <v>4</v>
      </c>
      <c r="F340" s="7">
        <v>6</v>
      </c>
    </row>
    <row r="341" spans="1:6" ht="28" x14ac:dyDescent="0.3">
      <c r="A341" s="6" t="s">
        <v>11</v>
      </c>
      <c r="B341" s="6" t="s">
        <v>75</v>
      </c>
      <c r="C341" s="6">
        <v>2014</v>
      </c>
      <c r="D341" s="6" t="s">
        <v>1</v>
      </c>
      <c r="E341" s="6" t="s">
        <v>4</v>
      </c>
      <c r="F341" s="7">
        <v>109</v>
      </c>
    </row>
    <row r="342" spans="1:6" ht="28" x14ac:dyDescent="0.3">
      <c r="A342" s="6" t="s">
        <v>12</v>
      </c>
      <c r="B342" s="6" t="s">
        <v>81</v>
      </c>
      <c r="C342" s="6">
        <v>2014</v>
      </c>
      <c r="D342" s="6" t="s">
        <v>1</v>
      </c>
      <c r="E342" s="6" t="s">
        <v>4</v>
      </c>
      <c r="F342" s="7">
        <v>17</v>
      </c>
    </row>
    <row r="343" spans="1:6" ht="28" x14ac:dyDescent="0.3">
      <c r="A343" s="6" t="s">
        <v>12</v>
      </c>
      <c r="B343" s="6" t="s">
        <v>82</v>
      </c>
      <c r="C343" s="6">
        <v>2014</v>
      </c>
      <c r="D343" s="6" t="s">
        <v>1</v>
      </c>
      <c r="E343" s="6" t="s">
        <v>4</v>
      </c>
      <c r="F343" s="7">
        <v>22</v>
      </c>
    </row>
    <row r="344" spans="1:6" ht="28" x14ac:dyDescent="0.3">
      <c r="A344" s="6" t="s">
        <v>12</v>
      </c>
      <c r="B344" s="6" t="s">
        <v>83</v>
      </c>
      <c r="C344" s="6">
        <v>2014</v>
      </c>
      <c r="D344" s="6" t="s">
        <v>1</v>
      </c>
      <c r="E344" s="6" t="s">
        <v>4</v>
      </c>
      <c r="F344" s="7">
        <v>11</v>
      </c>
    </row>
    <row r="345" spans="1:6" ht="28" x14ac:dyDescent="0.3">
      <c r="A345" s="6" t="s">
        <v>12</v>
      </c>
      <c r="B345" s="6" t="s">
        <v>84</v>
      </c>
      <c r="C345" s="6">
        <v>2014</v>
      </c>
      <c r="D345" s="6" t="s">
        <v>1</v>
      </c>
      <c r="E345" s="6" t="s">
        <v>4</v>
      </c>
      <c r="F345" s="7">
        <v>6</v>
      </c>
    </row>
    <row r="346" spans="1:6" ht="28" x14ac:dyDescent="0.3">
      <c r="A346" s="6" t="s">
        <v>12</v>
      </c>
      <c r="B346" s="6" t="s">
        <v>85</v>
      </c>
      <c r="C346" s="6">
        <v>2014</v>
      </c>
      <c r="D346" s="6" t="s">
        <v>1</v>
      </c>
      <c r="E346" s="6" t="s">
        <v>4</v>
      </c>
      <c r="F346" s="7">
        <v>140</v>
      </c>
    </row>
    <row r="347" spans="1:6" ht="28" x14ac:dyDescent="0.3">
      <c r="A347" s="6" t="s">
        <v>12</v>
      </c>
      <c r="B347" s="6" t="s">
        <v>86</v>
      </c>
      <c r="C347" s="6">
        <v>2014</v>
      </c>
      <c r="D347" s="6" t="s">
        <v>1</v>
      </c>
      <c r="E347" s="6" t="s">
        <v>4</v>
      </c>
      <c r="F347" s="7">
        <v>10</v>
      </c>
    </row>
    <row r="348" spans="1:6" ht="28" x14ac:dyDescent="0.3">
      <c r="A348" s="6" t="s">
        <v>12</v>
      </c>
      <c r="B348" s="6" t="s">
        <v>87</v>
      </c>
      <c r="C348" s="6">
        <v>2014</v>
      </c>
      <c r="D348" s="6" t="s">
        <v>1</v>
      </c>
      <c r="E348" s="6" t="s">
        <v>4</v>
      </c>
      <c r="F348" s="7">
        <v>69</v>
      </c>
    </row>
    <row r="349" spans="1:6" ht="28" x14ac:dyDescent="0.3">
      <c r="A349" s="6" t="s">
        <v>12</v>
      </c>
      <c r="B349" s="6" t="s">
        <v>88</v>
      </c>
      <c r="C349" s="6">
        <v>2014</v>
      </c>
      <c r="D349" s="6" t="s">
        <v>1</v>
      </c>
      <c r="E349" s="6" t="s">
        <v>4</v>
      </c>
      <c r="F349" s="7">
        <v>19</v>
      </c>
    </row>
    <row r="350" spans="1:6" ht="28" x14ac:dyDescent="0.3">
      <c r="A350" s="6" t="s">
        <v>13</v>
      </c>
      <c r="B350" s="6" t="s">
        <v>89</v>
      </c>
      <c r="C350" s="6">
        <v>2014</v>
      </c>
      <c r="D350" s="6" t="s">
        <v>1</v>
      </c>
      <c r="E350" s="6" t="s">
        <v>4</v>
      </c>
      <c r="F350" s="7">
        <v>5</v>
      </c>
    </row>
    <row r="351" spans="1:6" ht="28" x14ac:dyDescent="0.3">
      <c r="A351" s="6" t="s">
        <v>13</v>
      </c>
      <c r="B351" s="6" t="s">
        <v>98</v>
      </c>
      <c r="C351" s="6">
        <v>2014</v>
      </c>
      <c r="D351" s="6" t="s">
        <v>1</v>
      </c>
      <c r="E351" s="6" t="s">
        <v>4</v>
      </c>
      <c r="F351" s="7">
        <v>6</v>
      </c>
    </row>
    <row r="352" spans="1:6" ht="28" x14ac:dyDescent="0.3">
      <c r="A352" s="6" t="s">
        <v>13</v>
      </c>
      <c r="B352" s="6" t="s">
        <v>99</v>
      </c>
      <c r="C352" s="6">
        <v>2014</v>
      </c>
      <c r="D352" s="6" t="s">
        <v>1</v>
      </c>
      <c r="E352" s="6" t="s">
        <v>4</v>
      </c>
      <c r="F352" s="7">
        <v>6</v>
      </c>
    </row>
    <row r="353" spans="1:6" ht="28" x14ac:dyDescent="0.3">
      <c r="A353" s="6" t="s">
        <v>13</v>
      </c>
      <c r="B353" s="6" t="s">
        <v>90</v>
      </c>
      <c r="C353" s="6">
        <v>2014</v>
      </c>
      <c r="D353" s="6" t="s">
        <v>1</v>
      </c>
      <c r="E353" s="6" t="s">
        <v>4</v>
      </c>
      <c r="F353" s="7">
        <v>6</v>
      </c>
    </row>
    <row r="354" spans="1:6" ht="28" x14ac:dyDescent="0.3">
      <c r="A354" s="6" t="s">
        <v>13</v>
      </c>
      <c r="B354" s="6" t="s">
        <v>91</v>
      </c>
      <c r="C354" s="6">
        <v>2014</v>
      </c>
      <c r="D354" s="6" t="s">
        <v>1</v>
      </c>
      <c r="E354" s="6" t="s">
        <v>4</v>
      </c>
      <c r="F354" s="7">
        <v>5</v>
      </c>
    </row>
    <row r="355" spans="1:6" ht="28" x14ac:dyDescent="0.3">
      <c r="A355" s="6" t="s">
        <v>13</v>
      </c>
      <c r="B355" s="6" t="s">
        <v>92</v>
      </c>
      <c r="C355" s="6">
        <v>2014</v>
      </c>
      <c r="D355" s="6" t="s">
        <v>1</v>
      </c>
      <c r="E355" s="6" t="s">
        <v>4</v>
      </c>
      <c r="F355" s="7">
        <v>6</v>
      </c>
    </row>
    <row r="356" spans="1:6" ht="28" x14ac:dyDescent="0.3">
      <c r="A356" s="6" t="s">
        <v>13</v>
      </c>
      <c r="B356" s="6" t="s">
        <v>93</v>
      </c>
      <c r="C356" s="6">
        <v>2014</v>
      </c>
      <c r="D356" s="6" t="s">
        <v>1</v>
      </c>
      <c r="E356" s="6" t="s">
        <v>4</v>
      </c>
      <c r="F356" s="7">
        <v>10</v>
      </c>
    </row>
    <row r="357" spans="1:6" ht="28" x14ac:dyDescent="0.3">
      <c r="A357" s="6" t="s">
        <v>13</v>
      </c>
      <c r="B357" s="6" t="s">
        <v>94</v>
      </c>
      <c r="C357" s="6">
        <v>2014</v>
      </c>
      <c r="D357" s="6" t="s">
        <v>1</v>
      </c>
      <c r="E357" s="6" t="s">
        <v>4</v>
      </c>
      <c r="F357" s="7">
        <v>6</v>
      </c>
    </row>
    <row r="358" spans="1:6" ht="28" x14ac:dyDescent="0.3">
      <c r="A358" s="6" t="s">
        <v>13</v>
      </c>
      <c r="B358" s="6" t="s">
        <v>95</v>
      </c>
      <c r="C358" s="6">
        <v>2014</v>
      </c>
      <c r="D358" s="6" t="s">
        <v>1</v>
      </c>
      <c r="E358" s="6" t="s">
        <v>4</v>
      </c>
      <c r="F358" s="7">
        <v>5</v>
      </c>
    </row>
    <row r="359" spans="1:6" ht="28" x14ac:dyDescent="0.3">
      <c r="A359" s="6" t="s">
        <v>13</v>
      </c>
      <c r="B359" s="6" t="s">
        <v>96</v>
      </c>
      <c r="C359" s="6">
        <v>2014</v>
      </c>
      <c r="D359" s="6" t="s">
        <v>1</v>
      </c>
      <c r="E359" s="6" t="s">
        <v>4</v>
      </c>
      <c r="F359" s="7">
        <v>6</v>
      </c>
    </row>
    <row r="360" spans="1:6" ht="28" x14ac:dyDescent="0.3">
      <c r="A360" s="6" t="s">
        <v>13</v>
      </c>
      <c r="B360" s="6" t="s">
        <v>97</v>
      </c>
      <c r="C360" s="6">
        <v>2014</v>
      </c>
      <c r="D360" s="6" t="s">
        <v>1</v>
      </c>
      <c r="E360" s="6" t="s">
        <v>4</v>
      </c>
      <c r="F360" s="7">
        <v>6</v>
      </c>
    </row>
    <row r="361" spans="1:6" ht="28" x14ac:dyDescent="0.3">
      <c r="A361" s="6" t="s">
        <v>14</v>
      </c>
      <c r="B361" s="6" t="s">
        <v>100</v>
      </c>
      <c r="C361" s="6">
        <v>2014</v>
      </c>
      <c r="D361" s="6" t="s">
        <v>1</v>
      </c>
      <c r="E361" s="6" t="s">
        <v>4</v>
      </c>
      <c r="F361" s="7">
        <v>52</v>
      </c>
    </row>
    <row r="362" spans="1:6" ht="28" x14ac:dyDescent="0.3">
      <c r="A362" s="6" t="s">
        <v>14</v>
      </c>
      <c r="B362" s="6" t="s">
        <v>101</v>
      </c>
      <c r="C362" s="6">
        <v>2014</v>
      </c>
      <c r="D362" s="6" t="s">
        <v>1</v>
      </c>
      <c r="E362" s="6" t="s">
        <v>4</v>
      </c>
      <c r="F362" s="7">
        <v>6</v>
      </c>
    </row>
    <row r="363" spans="1:6" ht="28" x14ac:dyDescent="0.3">
      <c r="A363" s="6" t="s">
        <v>14</v>
      </c>
      <c r="B363" s="6" t="s">
        <v>102</v>
      </c>
      <c r="C363" s="6">
        <v>2014</v>
      </c>
      <c r="D363" s="6" t="s">
        <v>1</v>
      </c>
      <c r="E363" s="6" t="s">
        <v>4</v>
      </c>
      <c r="F363" s="7">
        <v>615</v>
      </c>
    </row>
    <row r="364" spans="1:6" ht="28" x14ac:dyDescent="0.3">
      <c r="A364" s="6" t="s">
        <v>14</v>
      </c>
      <c r="B364" s="6" t="s">
        <v>103</v>
      </c>
      <c r="C364" s="6">
        <v>2014</v>
      </c>
      <c r="D364" s="6" t="s">
        <v>1</v>
      </c>
      <c r="E364" s="6" t="s">
        <v>4</v>
      </c>
      <c r="F364" s="7">
        <v>392</v>
      </c>
    </row>
    <row r="365" spans="1:6" ht="28" x14ac:dyDescent="0.3">
      <c r="A365" s="6" t="s">
        <v>14</v>
      </c>
      <c r="B365" s="6" t="s">
        <v>104</v>
      </c>
      <c r="C365" s="6">
        <v>2014</v>
      </c>
      <c r="D365" s="6" t="s">
        <v>1</v>
      </c>
      <c r="E365" s="6" t="s">
        <v>4</v>
      </c>
      <c r="F365" s="7">
        <v>117</v>
      </c>
    </row>
    <row r="366" spans="1:6" ht="28" x14ac:dyDescent="0.3">
      <c r="A366" s="6" t="s">
        <v>14</v>
      </c>
      <c r="B366" s="6" t="s">
        <v>105</v>
      </c>
      <c r="C366" s="6">
        <v>2014</v>
      </c>
      <c r="D366" s="6" t="s">
        <v>1</v>
      </c>
      <c r="E366" s="6" t="s">
        <v>4</v>
      </c>
      <c r="F366" s="7">
        <v>16</v>
      </c>
    </row>
    <row r="367" spans="1:6" ht="28" x14ac:dyDescent="0.3">
      <c r="A367" s="6" t="s">
        <v>15</v>
      </c>
      <c r="B367" s="6" t="s">
        <v>106</v>
      </c>
      <c r="C367" s="6">
        <v>2014</v>
      </c>
      <c r="D367" s="6" t="s">
        <v>1</v>
      </c>
      <c r="E367" s="6" t="s">
        <v>4</v>
      </c>
      <c r="F367" s="7">
        <v>6</v>
      </c>
    </row>
    <row r="368" spans="1:6" ht="28" x14ac:dyDescent="0.3">
      <c r="A368" s="6" t="s">
        <v>15</v>
      </c>
      <c r="B368" s="6" t="s">
        <v>107</v>
      </c>
      <c r="C368" s="6">
        <v>2014</v>
      </c>
      <c r="D368" s="6" t="s">
        <v>1</v>
      </c>
      <c r="E368" s="6" t="s">
        <v>4</v>
      </c>
      <c r="F368" s="7">
        <v>5</v>
      </c>
    </row>
    <row r="369" spans="1:6" ht="28" x14ac:dyDescent="0.3">
      <c r="A369" s="6" t="s">
        <v>15</v>
      </c>
      <c r="B369" s="6" t="s">
        <v>108</v>
      </c>
      <c r="C369" s="6">
        <v>2014</v>
      </c>
      <c r="D369" s="6" t="s">
        <v>1</v>
      </c>
      <c r="E369" s="6" t="s">
        <v>4</v>
      </c>
      <c r="F369" s="7">
        <v>6</v>
      </c>
    </row>
    <row r="370" spans="1:6" ht="28" x14ac:dyDescent="0.3">
      <c r="A370" s="6" t="s">
        <v>6</v>
      </c>
      <c r="B370" s="6" t="s">
        <v>17</v>
      </c>
      <c r="C370" s="6">
        <v>2015</v>
      </c>
      <c r="D370" s="6" t="s">
        <v>0</v>
      </c>
      <c r="E370" s="6" t="s">
        <v>5</v>
      </c>
      <c r="F370" s="7">
        <v>176</v>
      </c>
    </row>
    <row r="371" spans="1:6" ht="28" x14ac:dyDescent="0.3">
      <c r="A371" s="6" t="s">
        <v>6</v>
      </c>
      <c r="B371" s="6" t="s">
        <v>18</v>
      </c>
      <c r="C371" s="6">
        <v>2015</v>
      </c>
      <c r="D371" s="6" t="s">
        <v>0</v>
      </c>
      <c r="E371" s="6" t="s">
        <v>5</v>
      </c>
      <c r="F371" s="7">
        <v>1767</v>
      </c>
    </row>
    <row r="372" spans="1:6" ht="28" x14ac:dyDescent="0.3">
      <c r="A372" s="6" t="s">
        <v>6</v>
      </c>
      <c r="B372" s="6" t="s">
        <v>19</v>
      </c>
      <c r="C372" s="6">
        <v>2015</v>
      </c>
      <c r="D372" s="6" t="s">
        <v>0</v>
      </c>
      <c r="E372" s="6" t="s">
        <v>5</v>
      </c>
      <c r="F372" s="7">
        <v>40</v>
      </c>
    </row>
    <row r="373" spans="1:6" ht="28" x14ac:dyDescent="0.3">
      <c r="A373" s="6" t="s">
        <v>6</v>
      </c>
      <c r="B373" s="6" t="s">
        <v>20</v>
      </c>
      <c r="C373" s="6">
        <v>2015</v>
      </c>
      <c r="D373" s="6" t="s">
        <v>0</v>
      </c>
      <c r="E373" s="6" t="s">
        <v>5</v>
      </c>
      <c r="F373" s="7">
        <v>39222</v>
      </c>
    </row>
    <row r="374" spans="1:6" ht="28" x14ac:dyDescent="0.3">
      <c r="A374" s="6" t="s">
        <v>7</v>
      </c>
      <c r="B374" s="6" t="s">
        <v>21</v>
      </c>
      <c r="C374" s="6">
        <v>2015</v>
      </c>
      <c r="D374" s="6" t="s">
        <v>0</v>
      </c>
      <c r="E374" s="6" t="s">
        <v>5</v>
      </c>
      <c r="F374" s="7">
        <v>9662</v>
      </c>
    </row>
    <row r="375" spans="1:6" ht="28" x14ac:dyDescent="0.3">
      <c r="A375" s="6" t="s">
        <v>7</v>
      </c>
      <c r="B375" s="6" t="s">
        <v>22</v>
      </c>
      <c r="C375" s="6">
        <v>2015</v>
      </c>
      <c r="D375" s="6" t="s">
        <v>0</v>
      </c>
      <c r="E375" s="6" t="s">
        <v>5</v>
      </c>
      <c r="F375" s="7">
        <v>44</v>
      </c>
    </row>
    <row r="376" spans="1:6" ht="28" x14ac:dyDescent="0.3">
      <c r="A376" s="6" t="s">
        <v>7</v>
      </c>
      <c r="B376" s="6" t="s">
        <v>23</v>
      </c>
      <c r="C376" s="6">
        <v>2015</v>
      </c>
      <c r="D376" s="6" t="s">
        <v>0</v>
      </c>
      <c r="E376" s="6" t="s">
        <v>5</v>
      </c>
      <c r="F376" s="7">
        <v>83</v>
      </c>
    </row>
    <row r="377" spans="1:6" ht="28" x14ac:dyDescent="0.3">
      <c r="A377" s="6" t="s">
        <v>8</v>
      </c>
      <c r="B377" s="6" t="s">
        <v>24</v>
      </c>
      <c r="C377" s="6">
        <v>2015</v>
      </c>
      <c r="D377" s="6" t="s">
        <v>0</v>
      </c>
      <c r="E377" s="6" t="s">
        <v>5</v>
      </c>
      <c r="F377" s="7">
        <v>3245</v>
      </c>
    </row>
    <row r="378" spans="1:6" ht="28" x14ac:dyDescent="0.3">
      <c r="A378" s="6" t="s">
        <v>8</v>
      </c>
      <c r="B378" s="6" t="s">
        <v>25</v>
      </c>
      <c r="C378" s="6">
        <v>2015</v>
      </c>
      <c r="D378" s="6" t="s">
        <v>0</v>
      </c>
      <c r="E378" s="6" t="s">
        <v>5</v>
      </c>
      <c r="F378" s="7">
        <v>602</v>
      </c>
    </row>
    <row r="379" spans="1:6" ht="28" x14ac:dyDescent="0.3">
      <c r="A379" s="6" t="s">
        <v>9</v>
      </c>
      <c r="B379" s="6" t="s">
        <v>26</v>
      </c>
      <c r="C379" s="6">
        <v>2015</v>
      </c>
      <c r="D379" s="6" t="s">
        <v>0</v>
      </c>
      <c r="E379" s="6" t="s">
        <v>5</v>
      </c>
      <c r="F379" s="7">
        <v>88</v>
      </c>
    </row>
    <row r="380" spans="1:6" ht="28" x14ac:dyDescent="0.3">
      <c r="A380" s="6" t="s">
        <v>9</v>
      </c>
      <c r="B380" s="6" t="s">
        <v>35</v>
      </c>
      <c r="C380" s="6">
        <v>2015</v>
      </c>
      <c r="D380" s="6" t="s">
        <v>0</v>
      </c>
      <c r="E380" s="6" t="s">
        <v>5</v>
      </c>
      <c r="F380" s="7">
        <v>58</v>
      </c>
    </row>
    <row r="381" spans="1:6" ht="28" x14ac:dyDescent="0.3">
      <c r="A381" s="6" t="s">
        <v>9</v>
      </c>
      <c r="B381" s="6" t="s">
        <v>36</v>
      </c>
      <c r="C381" s="6">
        <v>2015</v>
      </c>
      <c r="D381" s="6" t="s">
        <v>0</v>
      </c>
      <c r="E381" s="6" t="s">
        <v>5</v>
      </c>
      <c r="F381" s="7">
        <v>94</v>
      </c>
    </row>
    <row r="382" spans="1:6" ht="28" x14ac:dyDescent="0.3">
      <c r="A382" s="6" t="s">
        <v>9</v>
      </c>
      <c r="B382" s="6" t="s">
        <v>37</v>
      </c>
      <c r="C382" s="6">
        <v>2015</v>
      </c>
      <c r="D382" s="6" t="s">
        <v>0</v>
      </c>
      <c r="E382" s="6" t="s">
        <v>5</v>
      </c>
      <c r="F382" s="7">
        <v>24</v>
      </c>
    </row>
    <row r="383" spans="1:6" ht="28" x14ac:dyDescent="0.3">
      <c r="A383" s="6" t="s">
        <v>9</v>
      </c>
      <c r="B383" s="6" t="s">
        <v>38</v>
      </c>
      <c r="C383" s="6">
        <v>2015</v>
      </c>
      <c r="D383" s="6" t="s">
        <v>0</v>
      </c>
      <c r="E383" s="6" t="s">
        <v>5</v>
      </c>
      <c r="F383" s="7">
        <v>2297</v>
      </c>
    </row>
    <row r="384" spans="1:6" ht="28" x14ac:dyDescent="0.3">
      <c r="A384" s="6" t="s">
        <v>9</v>
      </c>
      <c r="B384" s="6" t="s">
        <v>39</v>
      </c>
      <c r="C384" s="6">
        <v>2015</v>
      </c>
      <c r="D384" s="6" t="s">
        <v>0</v>
      </c>
      <c r="E384" s="6" t="s">
        <v>5</v>
      </c>
      <c r="F384" s="7">
        <v>85</v>
      </c>
    </row>
    <row r="385" spans="1:6" ht="28" x14ac:dyDescent="0.3">
      <c r="A385" s="6" t="s">
        <v>9</v>
      </c>
      <c r="B385" s="6" t="s">
        <v>40</v>
      </c>
      <c r="C385" s="6">
        <v>2015</v>
      </c>
      <c r="D385" s="6" t="s">
        <v>0</v>
      </c>
      <c r="E385" s="6" t="s">
        <v>5</v>
      </c>
      <c r="F385" s="7">
        <v>80</v>
      </c>
    </row>
    <row r="386" spans="1:6" ht="28" x14ac:dyDescent="0.3">
      <c r="A386" s="6" t="s">
        <v>9</v>
      </c>
      <c r="B386" s="6" t="s">
        <v>41</v>
      </c>
      <c r="C386" s="6">
        <v>2015</v>
      </c>
      <c r="D386" s="6" t="s">
        <v>0</v>
      </c>
      <c r="E386" s="6" t="s">
        <v>5</v>
      </c>
      <c r="F386" s="7">
        <v>2941</v>
      </c>
    </row>
    <row r="387" spans="1:6" ht="28" x14ac:dyDescent="0.3">
      <c r="A387" s="6" t="s">
        <v>9</v>
      </c>
      <c r="B387" s="6" t="s">
        <v>42</v>
      </c>
      <c r="C387" s="6">
        <v>2015</v>
      </c>
      <c r="D387" s="6" t="s">
        <v>0</v>
      </c>
      <c r="E387" s="6" t="s">
        <v>5</v>
      </c>
      <c r="F387" s="7">
        <v>6104</v>
      </c>
    </row>
    <row r="388" spans="1:6" ht="28" x14ac:dyDescent="0.3">
      <c r="A388" s="6" t="s">
        <v>9</v>
      </c>
      <c r="B388" s="6" t="s">
        <v>43</v>
      </c>
      <c r="C388" s="6">
        <v>2015</v>
      </c>
      <c r="D388" s="6" t="s">
        <v>0</v>
      </c>
      <c r="E388" s="6" t="s">
        <v>5</v>
      </c>
      <c r="F388" s="7">
        <v>2812</v>
      </c>
    </row>
    <row r="389" spans="1:6" ht="28" x14ac:dyDescent="0.3">
      <c r="A389" s="6" t="s">
        <v>9</v>
      </c>
      <c r="B389" s="6" t="s">
        <v>44</v>
      </c>
      <c r="C389" s="6">
        <v>2015</v>
      </c>
      <c r="D389" s="6" t="s">
        <v>0</v>
      </c>
      <c r="E389" s="6" t="s">
        <v>5</v>
      </c>
      <c r="F389" s="7">
        <v>748</v>
      </c>
    </row>
    <row r="390" spans="1:6" ht="28" x14ac:dyDescent="0.3">
      <c r="A390" s="6" t="s">
        <v>9</v>
      </c>
      <c r="B390" s="6" t="s">
        <v>27</v>
      </c>
      <c r="C390" s="6">
        <v>2015</v>
      </c>
      <c r="D390" s="6" t="s">
        <v>0</v>
      </c>
      <c r="E390" s="6" t="s">
        <v>5</v>
      </c>
      <c r="F390" s="7">
        <v>297</v>
      </c>
    </row>
    <row r="391" spans="1:6" ht="28" x14ac:dyDescent="0.3">
      <c r="A391" s="6" t="s">
        <v>9</v>
      </c>
      <c r="B391" s="6" t="s">
        <v>45</v>
      </c>
      <c r="C391" s="6">
        <v>2015</v>
      </c>
      <c r="D391" s="6" t="s">
        <v>0</v>
      </c>
      <c r="E391" s="6" t="s">
        <v>5</v>
      </c>
      <c r="F391" s="7">
        <v>15</v>
      </c>
    </row>
    <row r="392" spans="1:6" ht="28" x14ac:dyDescent="0.3">
      <c r="A392" s="6" t="s">
        <v>9</v>
      </c>
      <c r="B392" s="6" t="s">
        <v>46</v>
      </c>
      <c r="C392" s="6">
        <v>2015</v>
      </c>
      <c r="D392" s="6" t="s">
        <v>0</v>
      </c>
      <c r="E392" s="6" t="s">
        <v>5</v>
      </c>
      <c r="F392" s="7">
        <v>1548</v>
      </c>
    </row>
    <row r="393" spans="1:6" ht="28" x14ac:dyDescent="0.3">
      <c r="A393" s="6" t="s">
        <v>9</v>
      </c>
      <c r="B393" s="6" t="s">
        <v>47</v>
      </c>
      <c r="C393" s="6">
        <v>2015</v>
      </c>
      <c r="D393" s="6" t="s">
        <v>0</v>
      </c>
      <c r="E393" s="6" t="s">
        <v>5</v>
      </c>
      <c r="F393" s="7">
        <v>503</v>
      </c>
    </row>
    <row r="394" spans="1:6" ht="28" x14ac:dyDescent="0.3">
      <c r="A394" s="6" t="s">
        <v>9</v>
      </c>
      <c r="B394" s="6" t="s">
        <v>48</v>
      </c>
      <c r="C394" s="6">
        <v>2015</v>
      </c>
      <c r="D394" s="6" t="s">
        <v>0</v>
      </c>
      <c r="E394" s="6" t="s">
        <v>5</v>
      </c>
      <c r="F394" s="7">
        <v>1556</v>
      </c>
    </row>
    <row r="395" spans="1:6" ht="28" x14ac:dyDescent="0.3">
      <c r="A395" s="6" t="s">
        <v>9</v>
      </c>
      <c r="B395" s="6" t="s">
        <v>49</v>
      </c>
      <c r="C395" s="6">
        <v>2015</v>
      </c>
      <c r="D395" s="6" t="s">
        <v>0</v>
      </c>
      <c r="E395" s="6" t="s">
        <v>5</v>
      </c>
      <c r="F395" s="7">
        <v>2485</v>
      </c>
    </row>
    <row r="396" spans="1:6" ht="28" x14ac:dyDescent="0.3">
      <c r="A396" s="6" t="s">
        <v>9</v>
      </c>
      <c r="B396" s="6" t="s">
        <v>50</v>
      </c>
      <c r="C396" s="6">
        <v>2015</v>
      </c>
      <c r="D396" s="6" t="s">
        <v>0</v>
      </c>
      <c r="E396" s="6" t="s">
        <v>5</v>
      </c>
      <c r="F396" s="7">
        <v>1649</v>
      </c>
    </row>
    <row r="397" spans="1:6" ht="28" x14ac:dyDescent="0.3">
      <c r="A397" s="6" t="s">
        <v>9</v>
      </c>
      <c r="B397" s="6" t="s">
        <v>51</v>
      </c>
      <c r="C397" s="6">
        <v>2015</v>
      </c>
      <c r="D397" s="6" t="s">
        <v>0</v>
      </c>
      <c r="E397" s="6" t="s">
        <v>5</v>
      </c>
      <c r="F397" s="7">
        <v>5175</v>
      </c>
    </row>
    <row r="398" spans="1:6" ht="28" x14ac:dyDescent="0.3">
      <c r="A398" s="6" t="s">
        <v>9</v>
      </c>
      <c r="B398" s="6" t="s">
        <v>52</v>
      </c>
      <c r="C398" s="6">
        <v>2015</v>
      </c>
      <c r="D398" s="6" t="s">
        <v>0</v>
      </c>
      <c r="E398" s="6" t="s">
        <v>5</v>
      </c>
      <c r="F398" s="7">
        <v>6202</v>
      </c>
    </row>
    <row r="399" spans="1:6" ht="28" x14ac:dyDescent="0.3">
      <c r="A399" s="6" t="s">
        <v>9</v>
      </c>
      <c r="B399" s="6" t="s">
        <v>53</v>
      </c>
      <c r="C399" s="6">
        <v>2015</v>
      </c>
      <c r="D399" s="6" t="s">
        <v>0</v>
      </c>
      <c r="E399" s="6" t="s">
        <v>5</v>
      </c>
      <c r="F399" s="7">
        <v>6250</v>
      </c>
    </row>
    <row r="400" spans="1:6" ht="28" x14ac:dyDescent="0.3">
      <c r="A400" s="6" t="s">
        <v>9</v>
      </c>
      <c r="B400" s="6" t="s">
        <v>54</v>
      </c>
      <c r="C400" s="6">
        <v>2015</v>
      </c>
      <c r="D400" s="6" t="s">
        <v>0</v>
      </c>
      <c r="E400" s="6" t="s">
        <v>5</v>
      </c>
      <c r="F400" s="7">
        <v>955</v>
      </c>
    </row>
    <row r="401" spans="1:6" ht="28" x14ac:dyDescent="0.3">
      <c r="A401" s="6" t="s">
        <v>9</v>
      </c>
      <c r="B401" s="6" t="s">
        <v>28</v>
      </c>
      <c r="C401" s="6">
        <v>2015</v>
      </c>
      <c r="D401" s="6" t="s">
        <v>0</v>
      </c>
      <c r="E401" s="6" t="s">
        <v>5</v>
      </c>
      <c r="F401" s="7">
        <v>1693</v>
      </c>
    </row>
    <row r="402" spans="1:6" ht="28" x14ac:dyDescent="0.3">
      <c r="A402" s="6" t="s">
        <v>9</v>
      </c>
      <c r="B402" s="6" t="s">
        <v>55</v>
      </c>
      <c r="C402" s="6">
        <v>2015</v>
      </c>
      <c r="D402" s="6" t="s">
        <v>0</v>
      </c>
      <c r="E402" s="6" t="s">
        <v>5</v>
      </c>
      <c r="F402" s="7">
        <v>2876</v>
      </c>
    </row>
    <row r="403" spans="1:6" ht="28" x14ac:dyDescent="0.3">
      <c r="A403" s="6" t="s">
        <v>9</v>
      </c>
      <c r="B403" s="6" t="s">
        <v>56</v>
      </c>
      <c r="C403" s="6">
        <v>2015</v>
      </c>
      <c r="D403" s="6" t="s">
        <v>0</v>
      </c>
      <c r="E403" s="6" t="s">
        <v>5</v>
      </c>
      <c r="F403" s="7">
        <v>5845</v>
      </c>
    </row>
    <row r="404" spans="1:6" ht="28" x14ac:dyDescent="0.3">
      <c r="A404" s="6" t="s">
        <v>9</v>
      </c>
      <c r="B404" s="6" t="s">
        <v>57</v>
      </c>
      <c r="C404" s="6">
        <v>2015</v>
      </c>
      <c r="D404" s="6" t="s">
        <v>0</v>
      </c>
      <c r="E404" s="6" t="s">
        <v>5</v>
      </c>
      <c r="F404" s="7">
        <v>2737</v>
      </c>
    </row>
    <row r="405" spans="1:6" ht="28" x14ac:dyDescent="0.3">
      <c r="A405" s="6" t="s">
        <v>9</v>
      </c>
      <c r="B405" s="6" t="s">
        <v>58</v>
      </c>
      <c r="C405" s="6">
        <v>2015</v>
      </c>
      <c r="D405" s="6" t="s">
        <v>0</v>
      </c>
      <c r="E405" s="6" t="s">
        <v>5</v>
      </c>
      <c r="F405" s="7">
        <v>6434</v>
      </c>
    </row>
    <row r="406" spans="1:6" ht="28" x14ac:dyDescent="0.3">
      <c r="A406" s="6" t="s">
        <v>9</v>
      </c>
      <c r="B406" s="6" t="s">
        <v>29</v>
      </c>
      <c r="C406" s="6">
        <v>2015</v>
      </c>
      <c r="D406" s="6" t="s">
        <v>0</v>
      </c>
      <c r="E406" s="6" t="s">
        <v>5</v>
      </c>
      <c r="F406" s="7">
        <v>22</v>
      </c>
    </row>
    <row r="407" spans="1:6" ht="28" x14ac:dyDescent="0.3">
      <c r="A407" s="6" t="s">
        <v>9</v>
      </c>
      <c r="B407" s="6" t="s">
        <v>30</v>
      </c>
      <c r="C407" s="6">
        <v>2015</v>
      </c>
      <c r="D407" s="6" t="s">
        <v>0</v>
      </c>
      <c r="E407" s="6" t="s">
        <v>5</v>
      </c>
      <c r="F407" s="7">
        <v>136</v>
      </c>
    </row>
    <row r="408" spans="1:6" ht="28" x14ac:dyDescent="0.3">
      <c r="A408" s="6" t="s">
        <v>9</v>
      </c>
      <c r="B408" s="6" t="s">
        <v>31</v>
      </c>
      <c r="C408" s="6">
        <v>2015</v>
      </c>
      <c r="D408" s="6" t="s">
        <v>0</v>
      </c>
      <c r="E408" s="6" t="s">
        <v>5</v>
      </c>
      <c r="F408" s="7">
        <v>2687</v>
      </c>
    </row>
    <row r="409" spans="1:6" ht="28" x14ac:dyDescent="0.3">
      <c r="A409" s="6" t="s">
        <v>9</v>
      </c>
      <c r="B409" s="6" t="s">
        <v>32</v>
      </c>
      <c r="C409" s="6">
        <v>2015</v>
      </c>
      <c r="D409" s="6" t="s">
        <v>0</v>
      </c>
      <c r="E409" s="6" t="s">
        <v>5</v>
      </c>
      <c r="F409" s="7">
        <v>60</v>
      </c>
    </row>
    <row r="410" spans="1:6" ht="28" x14ac:dyDescent="0.3">
      <c r="A410" s="6" t="s">
        <v>9</v>
      </c>
      <c r="B410" s="6" t="s">
        <v>33</v>
      </c>
      <c r="C410" s="6">
        <v>2015</v>
      </c>
      <c r="D410" s="6" t="s">
        <v>0</v>
      </c>
      <c r="E410" s="6" t="s">
        <v>5</v>
      </c>
      <c r="F410" s="7">
        <v>174</v>
      </c>
    </row>
    <row r="411" spans="1:6" ht="28" x14ac:dyDescent="0.3">
      <c r="A411" s="6" t="s">
        <v>9</v>
      </c>
      <c r="B411" s="6" t="s">
        <v>34</v>
      </c>
      <c r="C411" s="6">
        <v>2015</v>
      </c>
      <c r="D411" s="6" t="s">
        <v>0</v>
      </c>
      <c r="E411" s="6" t="s">
        <v>5</v>
      </c>
      <c r="F411" s="7">
        <v>418</v>
      </c>
    </row>
    <row r="412" spans="1:6" ht="28" x14ac:dyDescent="0.3">
      <c r="A412" s="6" t="s">
        <v>10</v>
      </c>
      <c r="B412" s="6" t="s">
        <v>59</v>
      </c>
      <c r="C412" s="6">
        <v>2015</v>
      </c>
      <c r="D412" s="6" t="s">
        <v>0</v>
      </c>
      <c r="E412" s="6" t="s">
        <v>5</v>
      </c>
      <c r="F412" s="7">
        <v>1840</v>
      </c>
    </row>
    <row r="413" spans="1:6" ht="28" x14ac:dyDescent="0.3">
      <c r="A413" s="6" t="s">
        <v>10</v>
      </c>
      <c r="B413" s="6" t="s">
        <v>60</v>
      </c>
      <c r="C413" s="6">
        <v>2015</v>
      </c>
      <c r="D413" s="6" t="s">
        <v>0</v>
      </c>
      <c r="E413" s="6" t="s">
        <v>5</v>
      </c>
      <c r="F413" s="7">
        <v>81</v>
      </c>
    </row>
    <row r="414" spans="1:6" ht="28" x14ac:dyDescent="0.3">
      <c r="A414" s="6" t="s">
        <v>10</v>
      </c>
      <c r="B414" s="6" t="s">
        <v>61</v>
      </c>
      <c r="C414" s="6">
        <v>2015</v>
      </c>
      <c r="D414" s="6" t="s">
        <v>0</v>
      </c>
      <c r="E414" s="6" t="s">
        <v>5</v>
      </c>
      <c r="F414" s="7">
        <v>86</v>
      </c>
    </row>
    <row r="415" spans="1:6" ht="28" x14ac:dyDescent="0.3">
      <c r="A415" s="6" t="s">
        <v>10</v>
      </c>
      <c r="B415" s="6" t="s">
        <v>62</v>
      </c>
      <c r="C415" s="6">
        <v>2015</v>
      </c>
      <c r="D415" s="6" t="s">
        <v>0</v>
      </c>
      <c r="E415" s="6" t="s">
        <v>5</v>
      </c>
      <c r="F415" s="7">
        <v>29</v>
      </c>
    </row>
    <row r="416" spans="1:6" ht="28" x14ac:dyDescent="0.3">
      <c r="A416" s="6" t="s">
        <v>10</v>
      </c>
      <c r="B416" s="6" t="s">
        <v>63</v>
      </c>
      <c r="C416" s="6">
        <v>2015</v>
      </c>
      <c r="D416" s="6" t="s">
        <v>0</v>
      </c>
      <c r="E416" s="6" t="s">
        <v>5</v>
      </c>
      <c r="F416" s="7">
        <v>288</v>
      </c>
    </row>
    <row r="417" spans="1:6" ht="28" x14ac:dyDescent="0.3">
      <c r="A417" s="6" t="s">
        <v>10</v>
      </c>
      <c r="B417" s="6" t="s">
        <v>64</v>
      </c>
      <c r="C417" s="6">
        <v>2015</v>
      </c>
      <c r="D417" s="6" t="s">
        <v>0</v>
      </c>
      <c r="E417" s="6" t="s">
        <v>5</v>
      </c>
      <c r="F417" s="7">
        <v>33</v>
      </c>
    </row>
    <row r="418" spans="1:6" ht="28" x14ac:dyDescent="0.3">
      <c r="A418" s="6" t="s">
        <v>10</v>
      </c>
      <c r="B418" s="6" t="s">
        <v>65</v>
      </c>
      <c r="C418" s="6">
        <v>2015</v>
      </c>
      <c r="D418" s="6" t="s">
        <v>0</v>
      </c>
      <c r="E418" s="6" t="s">
        <v>5</v>
      </c>
      <c r="F418" s="7">
        <v>4836</v>
      </c>
    </row>
    <row r="419" spans="1:6" ht="28" x14ac:dyDescent="0.3">
      <c r="A419" s="6" t="s">
        <v>10</v>
      </c>
      <c r="B419" s="6" t="s">
        <v>66</v>
      </c>
      <c r="C419" s="6">
        <v>2015</v>
      </c>
      <c r="D419" s="6" t="s">
        <v>0</v>
      </c>
      <c r="E419" s="6" t="s">
        <v>5</v>
      </c>
      <c r="F419" s="7">
        <v>149</v>
      </c>
    </row>
    <row r="420" spans="1:6" ht="28" x14ac:dyDescent="0.3">
      <c r="A420" s="6" t="s">
        <v>11</v>
      </c>
      <c r="B420" s="6" t="s">
        <v>67</v>
      </c>
      <c r="C420" s="6">
        <v>2015</v>
      </c>
      <c r="D420" s="6" t="s">
        <v>0</v>
      </c>
      <c r="E420" s="6" t="s">
        <v>5</v>
      </c>
      <c r="F420" s="7">
        <v>86</v>
      </c>
    </row>
    <row r="421" spans="1:6" ht="28" x14ac:dyDescent="0.3">
      <c r="A421" s="6" t="s">
        <v>11</v>
      </c>
      <c r="B421" s="6" t="s">
        <v>76</v>
      </c>
      <c r="C421" s="6">
        <v>2015</v>
      </c>
      <c r="D421" s="6" t="s">
        <v>0</v>
      </c>
      <c r="E421" s="6" t="s">
        <v>5</v>
      </c>
      <c r="F421" s="7">
        <v>381</v>
      </c>
    </row>
    <row r="422" spans="1:6" ht="28" x14ac:dyDescent="0.3">
      <c r="A422" s="6" t="s">
        <v>11</v>
      </c>
      <c r="B422" s="6" t="s">
        <v>77</v>
      </c>
      <c r="C422" s="6">
        <v>2015</v>
      </c>
      <c r="D422" s="6" t="s">
        <v>0</v>
      </c>
      <c r="E422" s="6" t="s">
        <v>5</v>
      </c>
      <c r="F422" s="7">
        <v>264</v>
      </c>
    </row>
    <row r="423" spans="1:6" ht="28" x14ac:dyDescent="0.3">
      <c r="A423" s="6" t="s">
        <v>11</v>
      </c>
      <c r="B423" s="6" t="s">
        <v>78</v>
      </c>
      <c r="C423" s="6">
        <v>2015</v>
      </c>
      <c r="D423" s="6" t="s">
        <v>0</v>
      </c>
      <c r="E423" s="6" t="s">
        <v>5</v>
      </c>
      <c r="F423" s="7">
        <v>158</v>
      </c>
    </row>
    <row r="424" spans="1:6" ht="28" x14ac:dyDescent="0.3">
      <c r="A424" s="6" t="s">
        <v>11</v>
      </c>
      <c r="B424" s="6" t="s">
        <v>79</v>
      </c>
      <c r="C424" s="6">
        <v>2015</v>
      </c>
      <c r="D424" s="6" t="s">
        <v>0</v>
      </c>
      <c r="E424" s="6" t="s">
        <v>5</v>
      </c>
      <c r="F424" s="7">
        <v>37</v>
      </c>
    </row>
    <row r="425" spans="1:6" ht="28" x14ac:dyDescent="0.3">
      <c r="A425" s="6" t="s">
        <v>11</v>
      </c>
      <c r="B425" s="6" t="s">
        <v>80</v>
      </c>
      <c r="C425" s="6">
        <v>2015</v>
      </c>
      <c r="D425" s="6" t="s">
        <v>0</v>
      </c>
      <c r="E425" s="6" t="s">
        <v>5</v>
      </c>
      <c r="F425" s="7">
        <v>94</v>
      </c>
    </row>
    <row r="426" spans="1:6" ht="28" x14ac:dyDescent="0.3">
      <c r="A426" s="6" t="s">
        <v>11</v>
      </c>
      <c r="B426" s="6" t="s">
        <v>68</v>
      </c>
      <c r="C426" s="6">
        <v>2015</v>
      </c>
      <c r="D426" s="6" t="s">
        <v>0</v>
      </c>
      <c r="E426" s="6" t="s">
        <v>5</v>
      </c>
      <c r="F426" s="7">
        <v>226</v>
      </c>
    </row>
    <row r="427" spans="1:6" ht="28" x14ac:dyDescent="0.3">
      <c r="A427" s="6" t="s">
        <v>11</v>
      </c>
      <c r="B427" s="6" t="s">
        <v>69</v>
      </c>
      <c r="C427" s="6">
        <v>2015</v>
      </c>
      <c r="D427" s="6" t="s">
        <v>0</v>
      </c>
      <c r="E427" s="6" t="s">
        <v>5</v>
      </c>
      <c r="F427" s="7">
        <v>5672</v>
      </c>
    </row>
    <row r="428" spans="1:6" ht="28" x14ac:dyDescent="0.3">
      <c r="A428" s="6" t="s">
        <v>11</v>
      </c>
      <c r="B428" s="6" t="s">
        <v>70</v>
      </c>
      <c r="C428" s="6">
        <v>2015</v>
      </c>
      <c r="D428" s="6" t="s">
        <v>0</v>
      </c>
      <c r="E428" s="6" t="s">
        <v>5</v>
      </c>
      <c r="F428" s="7">
        <v>403</v>
      </c>
    </row>
    <row r="429" spans="1:6" ht="28" x14ac:dyDescent="0.3">
      <c r="A429" s="6" t="s">
        <v>11</v>
      </c>
      <c r="B429" s="6" t="s">
        <v>71</v>
      </c>
      <c r="C429" s="6">
        <v>2015</v>
      </c>
      <c r="D429" s="6" t="s">
        <v>0</v>
      </c>
      <c r="E429" s="6" t="s">
        <v>5</v>
      </c>
      <c r="F429" s="7">
        <v>18</v>
      </c>
    </row>
    <row r="430" spans="1:6" ht="28" x14ac:dyDescent="0.3">
      <c r="A430" s="6" t="s">
        <v>11</v>
      </c>
      <c r="B430" s="6" t="s">
        <v>72</v>
      </c>
      <c r="C430" s="6">
        <v>2015</v>
      </c>
      <c r="D430" s="6" t="s">
        <v>0</v>
      </c>
      <c r="E430" s="6" t="s">
        <v>5</v>
      </c>
      <c r="F430" s="7">
        <v>619</v>
      </c>
    </row>
    <row r="431" spans="1:6" ht="28" x14ac:dyDescent="0.3">
      <c r="A431" s="6" t="s">
        <v>11</v>
      </c>
      <c r="B431" s="6" t="s">
        <v>73</v>
      </c>
      <c r="C431" s="6">
        <v>2015</v>
      </c>
      <c r="D431" s="6" t="s">
        <v>0</v>
      </c>
      <c r="E431" s="6" t="s">
        <v>5</v>
      </c>
      <c r="F431" s="7">
        <v>195</v>
      </c>
    </row>
    <row r="432" spans="1:6" ht="28" x14ac:dyDescent="0.3">
      <c r="A432" s="6" t="s">
        <v>11</v>
      </c>
      <c r="B432" s="6" t="s">
        <v>74</v>
      </c>
      <c r="C432" s="6">
        <v>2015</v>
      </c>
      <c r="D432" s="6" t="s">
        <v>0</v>
      </c>
      <c r="E432" s="6" t="s">
        <v>5</v>
      </c>
      <c r="F432" s="7">
        <v>65</v>
      </c>
    </row>
    <row r="433" spans="1:6" ht="28" x14ac:dyDescent="0.3">
      <c r="A433" s="6" t="s">
        <v>11</v>
      </c>
      <c r="B433" s="6" t="s">
        <v>75</v>
      </c>
      <c r="C433" s="6">
        <v>2015</v>
      </c>
      <c r="D433" s="6" t="s">
        <v>0</v>
      </c>
      <c r="E433" s="6" t="s">
        <v>5</v>
      </c>
      <c r="F433" s="7">
        <v>6087</v>
      </c>
    </row>
    <row r="434" spans="1:6" ht="28" x14ac:dyDescent="0.3">
      <c r="A434" s="6" t="s">
        <v>12</v>
      </c>
      <c r="B434" s="6" t="s">
        <v>81</v>
      </c>
      <c r="C434" s="6">
        <v>2015</v>
      </c>
      <c r="D434" s="6" t="s">
        <v>0</v>
      </c>
      <c r="E434" s="6" t="s">
        <v>5</v>
      </c>
      <c r="F434" s="7">
        <v>107</v>
      </c>
    </row>
    <row r="435" spans="1:6" ht="28" x14ac:dyDescent="0.3">
      <c r="A435" s="6" t="s">
        <v>12</v>
      </c>
      <c r="B435" s="6" t="s">
        <v>82</v>
      </c>
      <c r="C435" s="6">
        <v>2015</v>
      </c>
      <c r="D435" s="6" t="s">
        <v>0</v>
      </c>
      <c r="E435" s="6" t="s">
        <v>5</v>
      </c>
      <c r="F435" s="7">
        <v>270</v>
      </c>
    </row>
    <row r="436" spans="1:6" ht="28" x14ac:dyDescent="0.3">
      <c r="A436" s="6" t="s">
        <v>12</v>
      </c>
      <c r="B436" s="6" t="s">
        <v>83</v>
      </c>
      <c r="C436" s="6">
        <v>2015</v>
      </c>
      <c r="D436" s="6" t="s">
        <v>0</v>
      </c>
      <c r="E436" s="6" t="s">
        <v>5</v>
      </c>
      <c r="F436" s="7">
        <v>207</v>
      </c>
    </row>
    <row r="437" spans="1:6" ht="28" x14ac:dyDescent="0.3">
      <c r="A437" s="6" t="s">
        <v>12</v>
      </c>
      <c r="B437" s="6" t="s">
        <v>84</v>
      </c>
      <c r="C437" s="6">
        <v>2015</v>
      </c>
      <c r="D437" s="6" t="s">
        <v>0</v>
      </c>
      <c r="E437" s="6" t="s">
        <v>5</v>
      </c>
      <c r="F437" s="7">
        <v>95</v>
      </c>
    </row>
    <row r="438" spans="1:6" ht="28" x14ac:dyDescent="0.3">
      <c r="A438" s="6" t="s">
        <v>12</v>
      </c>
      <c r="B438" s="6" t="s">
        <v>85</v>
      </c>
      <c r="C438" s="6">
        <v>2015</v>
      </c>
      <c r="D438" s="6" t="s">
        <v>0</v>
      </c>
      <c r="E438" s="6" t="s">
        <v>5</v>
      </c>
      <c r="F438" s="7">
        <v>1353</v>
      </c>
    </row>
    <row r="439" spans="1:6" ht="28" x14ac:dyDescent="0.3">
      <c r="A439" s="6" t="s">
        <v>12</v>
      </c>
      <c r="B439" s="6" t="s">
        <v>86</v>
      </c>
      <c r="C439" s="6">
        <v>2015</v>
      </c>
      <c r="D439" s="6" t="s">
        <v>0</v>
      </c>
      <c r="E439" s="6" t="s">
        <v>5</v>
      </c>
      <c r="F439" s="7">
        <v>44</v>
      </c>
    </row>
    <row r="440" spans="1:6" ht="28" x14ac:dyDescent="0.3">
      <c r="A440" s="6" t="s">
        <v>12</v>
      </c>
      <c r="B440" s="6" t="s">
        <v>87</v>
      </c>
      <c r="C440" s="6">
        <v>2015</v>
      </c>
      <c r="D440" s="6" t="s">
        <v>0</v>
      </c>
      <c r="E440" s="6" t="s">
        <v>5</v>
      </c>
      <c r="F440" s="7">
        <v>169</v>
      </c>
    </row>
    <row r="441" spans="1:6" ht="28" x14ac:dyDescent="0.3">
      <c r="A441" s="6" t="s">
        <v>12</v>
      </c>
      <c r="B441" s="6" t="s">
        <v>88</v>
      </c>
      <c r="C441" s="6">
        <v>2015</v>
      </c>
      <c r="D441" s="6" t="s">
        <v>0</v>
      </c>
      <c r="E441" s="6" t="s">
        <v>5</v>
      </c>
      <c r="F441" s="7">
        <v>714</v>
      </c>
    </row>
    <row r="442" spans="1:6" ht="28" x14ac:dyDescent="0.3">
      <c r="A442" s="6" t="s">
        <v>13</v>
      </c>
      <c r="B442" s="6" t="s">
        <v>89</v>
      </c>
      <c r="C442" s="6">
        <v>2015</v>
      </c>
      <c r="D442" s="6" t="s">
        <v>0</v>
      </c>
      <c r="E442" s="6" t="s">
        <v>5</v>
      </c>
      <c r="F442" s="7">
        <v>15</v>
      </c>
    </row>
    <row r="443" spans="1:6" ht="28" x14ac:dyDescent="0.3">
      <c r="A443" s="6" t="s">
        <v>13</v>
      </c>
      <c r="B443" s="6" t="s">
        <v>98</v>
      </c>
      <c r="C443" s="6">
        <v>2015</v>
      </c>
      <c r="D443" s="6" t="s">
        <v>0</v>
      </c>
      <c r="E443" s="6" t="s">
        <v>5</v>
      </c>
      <c r="F443" s="7">
        <v>29</v>
      </c>
    </row>
    <row r="444" spans="1:6" ht="28" x14ac:dyDescent="0.3">
      <c r="A444" s="6" t="s">
        <v>13</v>
      </c>
      <c r="B444" s="6" t="s">
        <v>99</v>
      </c>
      <c r="C444" s="6">
        <v>2015</v>
      </c>
      <c r="D444" s="6" t="s">
        <v>0</v>
      </c>
      <c r="E444" s="6" t="s">
        <v>5</v>
      </c>
      <c r="F444" s="7">
        <v>65</v>
      </c>
    </row>
    <row r="445" spans="1:6" ht="28" x14ac:dyDescent="0.3">
      <c r="A445" s="6" t="s">
        <v>13</v>
      </c>
      <c r="B445" s="6" t="s">
        <v>90</v>
      </c>
      <c r="C445" s="6">
        <v>2015</v>
      </c>
      <c r="D445" s="6" t="s">
        <v>0</v>
      </c>
      <c r="E445" s="6" t="s">
        <v>5</v>
      </c>
      <c r="F445" s="7">
        <v>271</v>
      </c>
    </row>
    <row r="446" spans="1:6" ht="28" x14ac:dyDescent="0.3">
      <c r="A446" s="6" t="s">
        <v>13</v>
      </c>
      <c r="B446" s="6" t="s">
        <v>91</v>
      </c>
      <c r="C446" s="6">
        <v>2015</v>
      </c>
      <c r="D446" s="6" t="s">
        <v>0</v>
      </c>
      <c r="E446" s="6" t="s">
        <v>5</v>
      </c>
      <c r="F446" s="7">
        <v>85</v>
      </c>
    </row>
    <row r="447" spans="1:6" ht="28" x14ac:dyDescent="0.3">
      <c r="A447" s="6" t="s">
        <v>13</v>
      </c>
      <c r="B447" s="6" t="s">
        <v>92</v>
      </c>
      <c r="C447" s="6">
        <v>2015</v>
      </c>
      <c r="D447" s="6" t="s">
        <v>0</v>
      </c>
      <c r="E447" s="6" t="s">
        <v>5</v>
      </c>
      <c r="F447" s="7">
        <v>51</v>
      </c>
    </row>
    <row r="448" spans="1:6" ht="28" x14ac:dyDescent="0.3">
      <c r="A448" s="6" t="s">
        <v>13</v>
      </c>
      <c r="B448" s="6" t="s">
        <v>93</v>
      </c>
      <c r="C448" s="6">
        <v>2015</v>
      </c>
      <c r="D448" s="6" t="s">
        <v>0</v>
      </c>
      <c r="E448" s="6" t="s">
        <v>5</v>
      </c>
      <c r="F448" s="7">
        <v>18</v>
      </c>
    </row>
    <row r="449" spans="1:6" ht="28" x14ac:dyDescent="0.3">
      <c r="A449" s="6" t="s">
        <v>13</v>
      </c>
      <c r="B449" s="6" t="s">
        <v>94</v>
      </c>
      <c r="C449" s="6">
        <v>2015</v>
      </c>
      <c r="D449" s="6" t="s">
        <v>0</v>
      </c>
      <c r="E449" s="6" t="s">
        <v>5</v>
      </c>
      <c r="F449" s="7">
        <v>9</v>
      </c>
    </row>
    <row r="450" spans="1:6" ht="28" x14ac:dyDescent="0.3">
      <c r="A450" s="6" t="s">
        <v>13</v>
      </c>
      <c r="B450" s="6" t="s">
        <v>95</v>
      </c>
      <c r="C450" s="6">
        <v>2015</v>
      </c>
      <c r="D450" s="6" t="s">
        <v>0</v>
      </c>
      <c r="E450" s="6" t="s">
        <v>5</v>
      </c>
      <c r="F450" s="7">
        <v>35</v>
      </c>
    </row>
    <row r="451" spans="1:6" ht="28" x14ac:dyDescent="0.3">
      <c r="A451" s="6" t="s">
        <v>13</v>
      </c>
      <c r="B451" s="6" t="s">
        <v>96</v>
      </c>
      <c r="C451" s="6">
        <v>2015</v>
      </c>
      <c r="D451" s="6" t="s">
        <v>0</v>
      </c>
      <c r="E451" s="6" t="s">
        <v>5</v>
      </c>
      <c r="F451" s="7">
        <v>267</v>
      </c>
    </row>
    <row r="452" spans="1:6" ht="28" x14ac:dyDescent="0.3">
      <c r="A452" s="6" t="s">
        <v>13</v>
      </c>
      <c r="B452" s="6" t="s">
        <v>97</v>
      </c>
      <c r="C452" s="6">
        <v>2015</v>
      </c>
      <c r="D452" s="6" t="s">
        <v>0</v>
      </c>
      <c r="E452" s="6" t="s">
        <v>5</v>
      </c>
      <c r="F452" s="7">
        <v>131</v>
      </c>
    </row>
    <row r="453" spans="1:6" ht="28" x14ac:dyDescent="0.3">
      <c r="A453" s="6" t="s">
        <v>14</v>
      </c>
      <c r="B453" s="6" t="s">
        <v>100</v>
      </c>
      <c r="C453" s="6">
        <v>2015</v>
      </c>
      <c r="D453" s="6" t="s">
        <v>0</v>
      </c>
      <c r="E453" s="6" t="s">
        <v>5</v>
      </c>
      <c r="F453" s="7">
        <v>439</v>
      </c>
    </row>
    <row r="454" spans="1:6" ht="28" x14ac:dyDescent="0.3">
      <c r="A454" s="6" t="s">
        <v>14</v>
      </c>
      <c r="B454" s="6" t="s">
        <v>101</v>
      </c>
      <c r="C454" s="6">
        <v>2015</v>
      </c>
      <c r="D454" s="6" t="s">
        <v>0</v>
      </c>
      <c r="E454" s="6" t="s">
        <v>5</v>
      </c>
      <c r="F454" s="7">
        <v>50</v>
      </c>
    </row>
    <row r="455" spans="1:6" ht="28" x14ac:dyDescent="0.3">
      <c r="A455" s="6" t="s">
        <v>14</v>
      </c>
      <c r="B455" s="6" t="s">
        <v>102</v>
      </c>
      <c r="C455" s="6">
        <v>2015</v>
      </c>
      <c r="D455" s="6" t="s">
        <v>0</v>
      </c>
      <c r="E455" s="6" t="s">
        <v>5</v>
      </c>
      <c r="F455" s="7">
        <v>1439</v>
      </c>
    </row>
    <row r="456" spans="1:6" ht="28" x14ac:dyDescent="0.3">
      <c r="A456" s="6" t="s">
        <v>14</v>
      </c>
      <c r="B456" s="6" t="s">
        <v>103</v>
      </c>
      <c r="C456" s="6">
        <v>2015</v>
      </c>
      <c r="D456" s="6" t="s">
        <v>0</v>
      </c>
      <c r="E456" s="6" t="s">
        <v>5</v>
      </c>
      <c r="F456" s="7">
        <v>340</v>
      </c>
    </row>
    <row r="457" spans="1:6" ht="28" x14ac:dyDescent="0.3">
      <c r="A457" s="6" t="s">
        <v>14</v>
      </c>
      <c r="B457" s="6" t="s">
        <v>104</v>
      </c>
      <c r="C457" s="6">
        <v>2015</v>
      </c>
      <c r="D457" s="6" t="s">
        <v>0</v>
      </c>
      <c r="E457" s="6" t="s">
        <v>5</v>
      </c>
      <c r="F457" s="7">
        <v>1822</v>
      </c>
    </row>
    <row r="458" spans="1:6" ht="28" x14ac:dyDescent="0.3">
      <c r="A458" s="6" t="s">
        <v>14</v>
      </c>
      <c r="B458" s="6" t="s">
        <v>105</v>
      </c>
      <c r="C458" s="6">
        <v>2015</v>
      </c>
      <c r="D458" s="6" t="s">
        <v>0</v>
      </c>
      <c r="E458" s="6" t="s">
        <v>5</v>
      </c>
      <c r="F458" s="7">
        <v>1477</v>
      </c>
    </row>
    <row r="459" spans="1:6" ht="28" x14ac:dyDescent="0.3">
      <c r="A459" s="6" t="s">
        <v>15</v>
      </c>
      <c r="B459" s="6" t="s">
        <v>106</v>
      </c>
      <c r="C459" s="6">
        <v>2015</v>
      </c>
      <c r="D459" s="6" t="s">
        <v>0</v>
      </c>
      <c r="E459" s="6" t="s">
        <v>5</v>
      </c>
      <c r="F459" s="7">
        <v>311</v>
      </c>
    </row>
    <row r="460" spans="1:6" ht="28" x14ac:dyDescent="0.3">
      <c r="A460" s="6" t="s">
        <v>15</v>
      </c>
      <c r="B460" s="6" t="s">
        <v>107</v>
      </c>
      <c r="C460" s="6">
        <v>2015</v>
      </c>
      <c r="D460" s="6" t="s">
        <v>0</v>
      </c>
      <c r="E460" s="6" t="s">
        <v>5</v>
      </c>
      <c r="F460" s="7">
        <v>400</v>
      </c>
    </row>
    <row r="461" spans="1:6" ht="28" x14ac:dyDescent="0.3">
      <c r="A461" s="6" t="s">
        <v>15</v>
      </c>
      <c r="B461" s="6" t="s">
        <v>108</v>
      </c>
      <c r="C461" s="6">
        <v>2015</v>
      </c>
      <c r="D461" s="6" t="s">
        <v>0</v>
      </c>
      <c r="E461" s="6" t="s">
        <v>5</v>
      </c>
      <c r="F461" s="7">
        <v>289</v>
      </c>
    </row>
    <row r="462" spans="1:6" ht="28" x14ac:dyDescent="0.3">
      <c r="A462" s="6" t="s">
        <v>6</v>
      </c>
      <c r="B462" s="6" t="s">
        <v>17</v>
      </c>
      <c r="C462" s="6">
        <v>2015</v>
      </c>
      <c r="D462" s="6" t="s">
        <v>0</v>
      </c>
      <c r="E462" s="6" t="s">
        <v>4</v>
      </c>
      <c r="F462" s="7">
        <v>105</v>
      </c>
    </row>
    <row r="463" spans="1:6" ht="28" x14ac:dyDescent="0.3">
      <c r="A463" s="6" t="s">
        <v>6</v>
      </c>
      <c r="B463" s="6" t="s">
        <v>18</v>
      </c>
      <c r="C463" s="6">
        <v>2015</v>
      </c>
      <c r="D463" s="6" t="s">
        <v>0</v>
      </c>
      <c r="E463" s="6" t="s">
        <v>4</v>
      </c>
      <c r="F463" s="7">
        <v>2115</v>
      </c>
    </row>
    <row r="464" spans="1:6" ht="28" x14ac:dyDescent="0.3">
      <c r="A464" s="6" t="s">
        <v>6</v>
      </c>
      <c r="B464" s="6" t="s">
        <v>19</v>
      </c>
      <c r="C464" s="6">
        <v>2015</v>
      </c>
      <c r="D464" s="6" t="s">
        <v>0</v>
      </c>
      <c r="E464" s="6" t="s">
        <v>4</v>
      </c>
      <c r="F464" s="7">
        <v>14</v>
      </c>
    </row>
    <row r="465" spans="1:6" ht="28" x14ac:dyDescent="0.3">
      <c r="A465" s="6" t="s">
        <v>6</v>
      </c>
      <c r="B465" s="6" t="s">
        <v>20</v>
      </c>
      <c r="C465" s="6">
        <v>2015</v>
      </c>
      <c r="D465" s="6" t="s">
        <v>0</v>
      </c>
      <c r="E465" s="6" t="s">
        <v>4</v>
      </c>
      <c r="F465" s="7">
        <v>16031</v>
      </c>
    </row>
    <row r="466" spans="1:6" ht="28" x14ac:dyDescent="0.3">
      <c r="A466" s="6" t="s">
        <v>7</v>
      </c>
      <c r="B466" s="6" t="s">
        <v>21</v>
      </c>
      <c r="C466" s="6">
        <v>2015</v>
      </c>
      <c r="D466" s="6" t="s">
        <v>0</v>
      </c>
      <c r="E466" s="6" t="s">
        <v>4</v>
      </c>
      <c r="F466" s="7">
        <v>3687</v>
      </c>
    </row>
    <row r="467" spans="1:6" ht="28" x14ac:dyDescent="0.3">
      <c r="A467" s="6" t="s">
        <v>7</v>
      </c>
      <c r="B467" s="6" t="s">
        <v>22</v>
      </c>
      <c r="C467" s="6">
        <v>2015</v>
      </c>
      <c r="D467" s="6" t="s">
        <v>0</v>
      </c>
      <c r="E467" s="6" t="s">
        <v>4</v>
      </c>
      <c r="F467" s="7">
        <v>20</v>
      </c>
    </row>
    <row r="468" spans="1:6" ht="28" x14ac:dyDescent="0.3">
      <c r="A468" s="6" t="s">
        <v>7</v>
      </c>
      <c r="B468" s="6" t="s">
        <v>23</v>
      </c>
      <c r="C468" s="6">
        <v>2015</v>
      </c>
      <c r="D468" s="6" t="s">
        <v>0</v>
      </c>
      <c r="E468" s="6" t="s">
        <v>4</v>
      </c>
      <c r="F468" s="7">
        <v>27</v>
      </c>
    </row>
    <row r="469" spans="1:6" ht="28" x14ac:dyDescent="0.3">
      <c r="A469" s="6" t="s">
        <v>8</v>
      </c>
      <c r="B469" s="6" t="s">
        <v>24</v>
      </c>
      <c r="C469" s="6">
        <v>2015</v>
      </c>
      <c r="D469" s="6" t="s">
        <v>0</v>
      </c>
      <c r="E469" s="6" t="s">
        <v>4</v>
      </c>
      <c r="F469" s="7">
        <v>3221</v>
      </c>
    </row>
    <row r="470" spans="1:6" ht="28" x14ac:dyDescent="0.3">
      <c r="A470" s="6" t="s">
        <v>8</v>
      </c>
      <c r="B470" s="6" t="s">
        <v>25</v>
      </c>
      <c r="C470" s="6">
        <v>2015</v>
      </c>
      <c r="D470" s="6" t="s">
        <v>0</v>
      </c>
      <c r="E470" s="6" t="s">
        <v>4</v>
      </c>
      <c r="F470" s="7">
        <v>324</v>
      </c>
    </row>
    <row r="471" spans="1:6" ht="28" x14ac:dyDescent="0.3">
      <c r="A471" s="6" t="s">
        <v>9</v>
      </c>
      <c r="B471" s="6" t="s">
        <v>26</v>
      </c>
      <c r="C471" s="6">
        <v>2015</v>
      </c>
      <c r="D471" s="6" t="s">
        <v>0</v>
      </c>
      <c r="E471" s="6" t="s">
        <v>4</v>
      </c>
      <c r="F471" s="7">
        <v>33</v>
      </c>
    </row>
    <row r="472" spans="1:6" ht="28" x14ac:dyDescent="0.3">
      <c r="A472" s="6" t="s">
        <v>9</v>
      </c>
      <c r="B472" s="6" t="s">
        <v>35</v>
      </c>
      <c r="C472" s="6">
        <v>2015</v>
      </c>
      <c r="D472" s="6" t="s">
        <v>0</v>
      </c>
      <c r="E472" s="6" t="s">
        <v>4</v>
      </c>
      <c r="F472" s="7">
        <v>18</v>
      </c>
    </row>
    <row r="473" spans="1:6" ht="28" x14ac:dyDescent="0.3">
      <c r="A473" s="6" t="s">
        <v>9</v>
      </c>
      <c r="B473" s="6" t="s">
        <v>36</v>
      </c>
      <c r="C473" s="6">
        <v>2015</v>
      </c>
      <c r="D473" s="6" t="s">
        <v>0</v>
      </c>
      <c r="E473" s="6" t="s">
        <v>4</v>
      </c>
      <c r="F473" s="7">
        <v>40</v>
      </c>
    </row>
    <row r="474" spans="1:6" ht="28" x14ac:dyDescent="0.3">
      <c r="A474" s="6" t="s">
        <v>9</v>
      </c>
      <c r="B474" s="6" t="s">
        <v>37</v>
      </c>
      <c r="C474" s="6">
        <v>2015</v>
      </c>
      <c r="D474" s="6" t="s">
        <v>0</v>
      </c>
      <c r="E474" s="6" t="s">
        <v>4</v>
      </c>
      <c r="F474" s="7">
        <v>24</v>
      </c>
    </row>
    <row r="475" spans="1:6" ht="28" x14ac:dyDescent="0.3">
      <c r="A475" s="6" t="s">
        <v>9</v>
      </c>
      <c r="B475" s="6" t="s">
        <v>38</v>
      </c>
      <c r="C475" s="6">
        <v>2015</v>
      </c>
      <c r="D475" s="6" t="s">
        <v>0</v>
      </c>
      <c r="E475" s="6" t="s">
        <v>4</v>
      </c>
      <c r="F475" s="7">
        <v>1192</v>
      </c>
    </row>
    <row r="476" spans="1:6" ht="28" x14ac:dyDescent="0.3">
      <c r="A476" s="6" t="s">
        <v>9</v>
      </c>
      <c r="B476" s="6" t="s">
        <v>39</v>
      </c>
      <c r="C476" s="6">
        <v>2015</v>
      </c>
      <c r="D476" s="6" t="s">
        <v>0</v>
      </c>
      <c r="E476" s="6" t="s">
        <v>4</v>
      </c>
      <c r="F476" s="7">
        <v>17</v>
      </c>
    </row>
    <row r="477" spans="1:6" ht="28" x14ac:dyDescent="0.3">
      <c r="A477" s="6" t="s">
        <v>9</v>
      </c>
      <c r="B477" s="6" t="s">
        <v>40</v>
      </c>
      <c r="C477" s="6">
        <v>2015</v>
      </c>
      <c r="D477" s="6" t="s">
        <v>0</v>
      </c>
      <c r="E477" s="6" t="s">
        <v>4</v>
      </c>
      <c r="F477" s="7">
        <v>52</v>
      </c>
    </row>
    <row r="478" spans="1:6" ht="28" x14ac:dyDescent="0.3">
      <c r="A478" s="6" t="s">
        <v>9</v>
      </c>
      <c r="B478" s="6" t="s">
        <v>41</v>
      </c>
      <c r="C478" s="6">
        <v>2015</v>
      </c>
      <c r="D478" s="6" t="s">
        <v>0</v>
      </c>
      <c r="E478" s="6" t="s">
        <v>4</v>
      </c>
      <c r="F478" s="7">
        <v>1554</v>
      </c>
    </row>
    <row r="479" spans="1:6" ht="28" x14ac:dyDescent="0.3">
      <c r="A479" s="6" t="s">
        <v>9</v>
      </c>
      <c r="B479" s="6" t="s">
        <v>42</v>
      </c>
      <c r="C479" s="6">
        <v>2015</v>
      </c>
      <c r="D479" s="6" t="s">
        <v>0</v>
      </c>
      <c r="E479" s="6" t="s">
        <v>4</v>
      </c>
      <c r="F479" s="7">
        <v>2266</v>
      </c>
    </row>
    <row r="480" spans="1:6" ht="28" x14ac:dyDescent="0.3">
      <c r="A480" s="6" t="s">
        <v>9</v>
      </c>
      <c r="B480" s="6" t="s">
        <v>43</v>
      </c>
      <c r="C480" s="6">
        <v>2015</v>
      </c>
      <c r="D480" s="6" t="s">
        <v>0</v>
      </c>
      <c r="E480" s="6" t="s">
        <v>4</v>
      </c>
      <c r="F480" s="7">
        <v>1230</v>
      </c>
    </row>
    <row r="481" spans="1:6" ht="28" x14ac:dyDescent="0.3">
      <c r="A481" s="6" t="s">
        <v>9</v>
      </c>
      <c r="B481" s="6" t="s">
        <v>44</v>
      </c>
      <c r="C481" s="6">
        <v>2015</v>
      </c>
      <c r="D481" s="6" t="s">
        <v>0</v>
      </c>
      <c r="E481" s="6" t="s">
        <v>4</v>
      </c>
      <c r="F481" s="7">
        <v>340</v>
      </c>
    </row>
    <row r="482" spans="1:6" ht="28" x14ac:dyDescent="0.3">
      <c r="A482" s="6" t="s">
        <v>9</v>
      </c>
      <c r="B482" s="6" t="s">
        <v>27</v>
      </c>
      <c r="C482" s="6">
        <v>2015</v>
      </c>
      <c r="D482" s="6" t="s">
        <v>0</v>
      </c>
      <c r="E482" s="6" t="s">
        <v>4</v>
      </c>
      <c r="F482" s="7">
        <v>104</v>
      </c>
    </row>
    <row r="483" spans="1:6" ht="28" x14ac:dyDescent="0.3">
      <c r="A483" s="6" t="s">
        <v>9</v>
      </c>
      <c r="B483" s="6" t="s">
        <v>45</v>
      </c>
      <c r="C483" s="6">
        <v>2015</v>
      </c>
      <c r="D483" s="6" t="s">
        <v>0</v>
      </c>
      <c r="E483" s="6" t="s">
        <v>4</v>
      </c>
      <c r="F483" s="7">
        <v>6</v>
      </c>
    </row>
    <row r="484" spans="1:6" ht="28" x14ac:dyDescent="0.3">
      <c r="A484" s="6" t="s">
        <v>9</v>
      </c>
      <c r="B484" s="6" t="s">
        <v>46</v>
      </c>
      <c r="C484" s="6">
        <v>2015</v>
      </c>
      <c r="D484" s="6" t="s">
        <v>0</v>
      </c>
      <c r="E484" s="6" t="s">
        <v>4</v>
      </c>
      <c r="F484" s="7">
        <v>710</v>
      </c>
    </row>
    <row r="485" spans="1:6" ht="28" x14ac:dyDescent="0.3">
      <c r="A485" s="6" t="s">
        <v>9</v>
      </c>
      <c r="B485" s="6" t="s">
        <v>47</v>
      </c>
      <c r="C485" s="6">
        <v>2015</v>
      </c>
      <c r="D485" s="6" t="s">
        <v>0</v>
      </c>
      <c r="E485" s="6" t="s">
        <v>4</v>
      </c>
      <c r="F485" s="7">
        <v>234</v>
      </c>
    </row>
    <row r="486" spans="1:6" ht="28" x14ac:dyDescent="0.3">
      <c r="A486" s="6" t="s">
        <v>9</v>
      </c>
      <c r="B486" s="6" t="s">
        <v>48</v>
      </c>
      <c r="C486" s="6">
        <v>2015</v>
      </c>
      <c r="D486" s="6" t="s">
        <v>0</v>
      </c>
      <c r="E486" s="6" t="s">
        <v>4</v>
      </c>
      <c r="F486" s="7">
        <v>471</v>
      </c>
    </row>
    <row r="487" spans="1:6" ht="28" x14ac:dyDescent="0.3">
      <c r="A487" s="6" t="s">
        <v>9</v>
      </c>
      <c r="B487" s="6" t="s">
        <v>49</v>
      </c>
      <c r="C487" s="6">
        <v>2015</v>
      </c>
      <c r="D487" s="6" t="s">
        <v>0</v>
      </c>
      <c r="E487" s="6" t="s">
        <v>4</v>
      </c>
      <c r="F487" s="7">
        <v>988</v>
      </c>
    </row>
    <row r="488" spans="1:6" ht="28" x14ac:dyDescent="0.3">
      <c r="A488" s="6" t="s">
        <v>9</v>
      </c>
      <c r="B488" s="6" t="s">
        <v>50</v>
      </c>
      <c r="C488" s="6">
        <v>2015</v>
      </c>
      <c r="D488" s="6" t="s">
        <v>0</v>
      </c>
      <c r="E488" s="6" t="s">
        <v>4</v>
      </c>
      <c r="F488" s="7">
        <v>872</v>
      </c>
    </row>
    <row r="489" spans="1:6" ht="28" x14ac:dyDescent="0.3">
      <c r="A489" s="6" t="s">
        <v>9</v>
      </c>
      <c r="B489" s="6" t="s">
        <v>51</v>
      </c>
      <c r="C489" s="6">
        <v>2015</v>
      </c>
      <c r="D489" s="6" t="s">
        <v>0</v>
      </c>
      <c r="E489" s="6" t="s">
        <v>4</v>
      </c>
      <c r="F489" s="7">
        <v>2221</v>
      </c>
    </row>
    <row r="490" spans="1:6" ht="28" x14ac:dyDescent="0.3">
      <c r="A490" s="6" t="s">
        <v>9</v>
      </c>
      <c r="B490" s="6" t="s">
        <v>52</v>
      </c>
      <c r="C490" s="6">
        <v>2015</v>
      </c>
      <c r="D490" s="6" t="s">
        <v>0</v>
      </c>
      <c r="E490" s="6" t="s">
        <v>4</v>
      </c>
      <c r="F490" s="7">
        <v>2572</v>
      </c>
    </row>
    <row r="491" spans="1:6" ht="28" x14ac:dyDescent="0.3">
      <c r="A491" s="6" t="s">
        <v>9</v>
      </c>
      <c r="B491" s="6" t="s">
        <v>53</v>
      </c>
      <c r="C491" s="6">
        <v>2015</v>
      </c>
      <c r="D491" s="6" t="s">
        <v>0</v>
      </c>
      <c r="E491" s="6" t="s">
        <v>4</v>
      </c>
      <c r="F491" s="7">
        <v>2241</v>
      </c>
    </row>
    <row r="492" spans="1:6" ht="28" x14ac:dyDescent="0.3">
      <c r="A492" s="6" t="s">
        <v>9</v>
      </c>
      <c r="B492" s="6" t="s">
        <v>54</v>
      </c>
      <c r="C492" s="6">
        <v>2015</v>
      </c>
      <c r="D492" s="6" t="s">
        <v>0</v>
      </c>
      <c r="E492" s="6" t="s">
        <v>4</v>
      </c>
      <c r="F492" s="7">
        <v>336</v>
      </c>
    </row>
    <row r="493" spans="1:6" ht="28" x14ac:dyDescent="0.3">
      <c r="A493" s="6" t="s">
        <v>9</v>
      </c>
      <c r="B493" s="6" t="s">
        <v>28</v>
      </c>
      <c r="C493" s="6">
        <v>2015</v>
      </c>
      <c r="D493" s="6" t="s">
        <v>0</v>
      </c>
      <c r="E493" s="6" t="s">
        <v>4</v>
      </c>
      <c r="F493" s="7">
        <v>3033</v>
      </c>
    </row>
    <row r="494" spans="1:6" ht="28" x14ac:dyDescent="0.3">
      <c r="A494" s="6" t="s">
        <v>9</v>
      </c>
      <c r="B494" s="6" t="s">
        <v>55</v>
      </c>
      <c r="C494" s="6">
        <v>2015</v>
      </c>
      <c r="D494" s="6" t="s">
        <v>0</v>
      </c>
      <c r="E494" s="6" t="s">
        <v>4</v>
      </c>
      <c r="F494" s="7">
        <v>861</v>
      </c>
    </row>
    <row r="495" spans="1:6" ht="28" x14ac:dyDescent="0.3">
      <c r="A495" s="6" t="s">
        <v>9</v>
      </c>
      <c r="B495" s="6" t="s">
        <v>56</v>
      </c>
      <c r="C495" s="6">
        <v>2015</v>
      </c>
      <c r="D495" s="6" t="s">
        <v>0</v>
      </c>
      <c r="E495" s="6" t="s">
        <v>4</v>
      </c>
      <c r="F495" s="7">
        <v>2654</v>
      </c>
    </row>
    <row r="496" spans="1:6" ht="28" x14ac:dyDescent="0.3">
      <c r="A496" s="6" t="s">
        <v>9</v>
      </c>
      <c r="B496" s="6" t="s">
        <v>57</v>
      </c>
      <c r="C496" s="6">
        <v>2015</v>
      </c>
      <c r="D496" s="6" t="s">
        <v>0</v>
      </c>
      <c r="E496" s="6" t="s">
        <v>4</v>
      </c>
      <c r="F496" s="7">
        <v>1044</v>
      </c>
    </row>
    <row r="497" spans="1:6" ht="28" x14ac:dyDescent="0.3">
      <c r="A497" s="6" t="s">
        <v>9</v>
      </c>
      <c r="B497" s="6" t="s">
        <v>58</v>
      </c>
      <c r="C497" s="6">
        <v>2015</v>
      </c>
      <c r="D497" s="6" t="s">
        <v>0</v>
      </c>
      <c r="E497" s="6" t="s">
        <v>4</v>
      </c>
      <c r="F497" s="7">
        <v>2606</v>
      </c>
    </row>
    <row r="498" spans="1:6" ht="28" x14ac:dyDescent="0.3">
      <c r="A498" s="6" t="s">
        <v>9</v>
      </c>
      <c r="B498" s="6" t="s">
        <v>29</v>
      </c>
      <c r="C498" s="6">
        <v>2015</v>
      </c>
      <c r="D498" s="6" t="s">
        <v>0</v>
      </c>
      <c r="E498" s="6" t="s">
        <v>4</v>
      </c>
      <c r="F498" s="7">
        <v>15</v>
      </c>
    </row>
    <row r="499" spans="1:6" ht="28" x14ac:dyDescent="0.3">
      <c r="A499" s="6" t="s">
        <v>9</v>
      </c>
      <c r="B499" s="6" t="s">
        <v>30</v>
      </c>
      <c r="C499" s="6">
        <v>2015</v>
      </c>
      <c r="D499" s="6" t="s">
        <v>0</v>
      </c>
      <c r="E499" s="6" t="s">
        <v>4</v>
      </c>
      <c r="F499" s="7">
        <v>36</v>
      </c>
    </row>
    <row r="500" spans="1:6" ht="28" x14ac:dyDescent="0.3">
      <c r="A500" s="6" t="s">
        <v>9</v>
      </c>
      <c r="B500" s="6" t="s">
        <v>31</v>
      </c>
      <c r="C500" s="6">
        <v>2015</v>
      </c>
      <c r="D500" s="6" t="s">
        <v>0</v>
      </c>
      <c r="E500" s="6" t="s">
        <v>4</v>
      </c>
      <c r="F500" s="7">
        <v>1114</v>
      </c>
    </row>
    <row r="501" spans="1:6" ht="28" x14ac:dyDescent="0.3">
      <c r="A501" s="6" t="s">
        <v>9</v>
      </c>
      <c r="B501" s="6" t="s">
        <v>32</v>
      </c>
      <c r="C501" s="6">
        <v>2015</v>
      </c>
      <c r="D501" s="6" t="s">
        <v>0</v>
      </c>
      <c r="E501" s="6" t="s">
        <v>4</v>
      </c>
      <c r="F501" s="7">
        <v>30</v>
      </c>
    </row>
    <row r="502" spans="1:6" ht="28" x14ac:dyDescent="0.3">
      <c r="A502" s="6" t="s">
        <v>9</v>
      </c>
      <c r="B502" s="6" t="s">
        <v>33</v>
      </c>
      <c r="C502" s="6">
        <v>2015</v>
      </c>
      <c r="D502" s="6" t="s">
        <v>0</v>
      </c>
      <c r="E502" s="6" t="s">
        <v>4</v>
      </c>
      <c r="F502" s="7">
        <v>296</v>
      </c>
    </row>
    <row r="503" spans="1:6" ht="28" x14ac:dyDescent="0.3">
      <c r="A503" s="6" t="s">
        <v>9</v>
      </c>
      <c r="B503" s="6" t="s">
        <v>34</v>
      </c>
      <c r="C503" s="6">
        <v>2015</v>
      </c>
      <c r="D503" s="6" t="s">
        <v>0</v>
      </c>
      <c r="E503" s="6" t="s">
        <v>4</v>
      </c>
      <c r="F503" s="7">
        <v>142</v>
      </c>
    </row>
    <row r="504" spans="1:6" ht="28" x14ac:dyDescent="0.3">
      <c r="A504" s="6" t="s">
        <v>10</v>
      </c>
      <c r="B504" s="6" t="s">
        <v>59</v>
      </c>
      <c r="C504" s="6">
        <v>2015</v>
      </c>
      <c r="D504" s="6" t="s">
        <v>0</v>
      </c>
      <c r="E504" s="6" t="s">
        <v>4</v>
      </c>
      <c r="F504" s="7">
        <v>2502</v>
      </c>
    </row>
    <row r="505" spans="1:6" ht="28" x14ac:dyDescent="0.3">
      <c r="A505" s="6" t="s">
        <v>10</v>
      </c>
      <c r="B505" s="6" t="s">
        <v>60</v>
      </c>
      <c r="C505" s="6">
        <v>2015</v>
      </c>
      <c r="D505" s="6" t="s">
        <v>0</v>
      </c>
      <c r="E505" s="6" t="s">
        <v>4</v>
      </c>
      <c r="F505" s="7">
        <v>460</v>
      </c>
    </row>
    <row r="506" spans="1:6" ht="28" x14ac:dyDescent="0.3">
      <c r="A506" s="6" t="s">
        <v>10</v>
      </c>
      <c r="B506" s="6" t="s">
        <v>61</v>
      </c>
      <c r="C506" s="6">
        <v>2015</v>
      </c>
      <c r="D506" s="6" t="s">
        <v>0</v>
      </c>
      <c r="E506" s="6" t="s">
        <v>4</v>
      </c>
      <c r="F506" s="7">
        <v>306</v>
      </c>
    </row>
    <row r="507" spans="1:6" ht="28" x14ac:dyDescent="0.3">
      <c r="A507" s="6" t="s">
        <v>10</v>
      </c>
      <c r="B507" s="6" t="s">
        <v>62</v>
      </c>
      <c r="C507" s="6">
        <v>2015</v>
      </c>
      <c r="D507" s="6" t="s">
        <v>0</v>
      </c>
      <c r="E507" s="6" t="s">
        <v>4</v>
      </c>
      <c r="F507" s="7">
        <v>44</v>
      </c>
    </row>
    <row r="508" spans="1:6" ht="28" x14ac:dyDescent="0.3">
      <c r="A508" s="6" t="s">
        <v>10</v>
      </c>
      <c r="B508" s="6" t="s">
        <v>63</v>
      </c>
      <c r="C508" s="6">
        <v>2015</v>
      </c>
      <c r="D508" s="6" t="s">
        <v>0</v>
      </c>
      <c r="E508" s="6" t="s">
        <v>4</v>
      </c>
      <c r="F508" s="7">
        <v>389</v>
      </c>
    </row>
    <row r="509" spans="1:6" ht="28" x14ac:dyDescent="0.3">
      <c r="A509" s="6" t="s">
        <v>10</v>
      </c>
      <c r="B509" s="6" t="s">
        <v>64</v>
      </c>
      <c r="C509" s="6">
        <v>2015</v>
      </c>
      <c r="D509" s="6" t="s">
        <v>0</v>
      </c>
      <c r="E509" s="6" t="s">
        <v>4</v>
      </c>
      <c r="F509" s="7">
        <v>69</v>
      </c>
    </row>
    <row r="510" spans="1:6" ht="28" x14ac:dyDescent="0.3">
      <c r="A510" s="6" t="s">
        <v>10</v>
      </c>
      <c r="B510" s="6" t="s">
        <v>65</v>
      </c>
      <c r="C510" s="6">
        <v>2015</v>
      </c>
      <c r="D510" s="6" t="s">
        <v>0</v>
      </c>
      <c r="E510" s="6" t="s">
        <v>4</v>
      </c>
      <c r="F510" s="7">
        <v>3505</v>
      </c>
    </row>
    <row r="511" spans="1:6" ht="28" x14ac:dyDescent="0.3">
      <c r="A511" s="6" t="s">
        <v>10</v>
      </c>
      <c r="B511" s="6" t="s">
        <v>66</v>
      </c>
      <c r="C511" s="6">
        <v>2015</v>
      </c>
      <c r="D511" s="6" t="s">
        <v>0</v>
      </c>
      <c r="E511" s="6" t="s">
        <v>4</v>
      </c>
      <c r="F511" s="7">
        <v>444</v>
      </c>
    </row>
    <row r="512" spans="1:6" ht="28" x14ac:dyDescent="0.3">
      <c r="A512" s="6" t="s">
        <v>11</v>
      </c>
      <c r="B512" s="6" t="s">
        <v>67</v>
      </c>
      <c r="C512" s="6">
        <v>2015</v>
      </c>
      <c r="D512" s="6" t="s">
        <v>0</v>
      </c>
      <c r="E512" s="6" t="s">
        <v>4</v>
      </c>
      <c r="F512" s="7">
        <v>102</v>
      </c>
    </row>
    <row r="513" spans="1:6" ht="28" x14ac:dyDescent="0.3">
      <c r="A513" s="6" t="s">
        <v>11</v>
      </c>
      <c r="B513" s="6" t="s">
        <v>76</v>
      </c>
      <c r="C513" s="6">
        <v>2015</v>
      </c>
      <c r="D513" s="6" t="s">
        <v>0</v>
      </c>
      <c r="E513" s="6" t="s">
        <v>4</v>
      </c>
      <c r="F513" s="7">
        <v>284</v>
      </c>
    </row>
    <row r="514" spans="1:6" ht="28" x14ac:dyDescent="0.3">
      <c r="A514" s="6" t="s">
        <v>11</v>
      </c>
      <c r="B514" s="6" t="s">
        <v>77</v>
      </c>
      <c r="C514" s="6">
        <v>2015</v>
      </c>
      <c r="D514" s="6" t="s">
        <v>0</v>
      </c>
      <c r="E514" s="6" t="s">
        <v>4</v>
      </c>
      <c r="F514" s="7">
        <v>609</v>
      </c>
    </row>
    <row r="515" spans="1:6" ht="28" x14ac:dyDescent="0.3">
      <c r="A515" s="6" t="s">
        <v>11</v>
      </c>
      <c r="B515" s="6" t="s">
        <v>78</v>
      </c>
      <c r="C515" s="6">
        <v>2015</v>
      </c>
      <c r="D515" s="6" t="s">
        <v>0</v>
      </c>
      <c r="E515" s="6" t="s">
        <v>4</v>
      </c>
      <c r="F515" s="7">
        <v>159</v>
      </c>
    </row>
    <row r="516" spans="1:6" ht="28" x14ac:dyDescent="0.3">
      <c r="A516" s="6" t="s">
        <v>11</v>
      </c>
      <c r="B516" s="6" t="s">
        <v>79</v>
      </c>
      <c r="C516" s="6">
        <v>2015</v>
      </c>
      <c r="D516" s="6" t="s">
        <v>0</v>
      </c>
      <c r="E516" s="6" t="s">
        <v>4</v>
      </c>
      <c r="F516" s="7">
        <v>50</v>
      </c>
    </row>
    <row r="517" spans="1:6" ht="28" x14ac:dyDescent="0.3">
      <c r="A517" s="6" t="s">
        <v>11</v>
      </c>
      <c r="B517" s="6" t="s">
        <v>80</v>
      </c>
      <c r="C517" s="6">
        <v>2015</v>
      </c>
      <c r="D517" s="6" t="s">
        <v>0</v>
      </c>
      <c r="E517" s="6" t="s">
        <v>4</v>
      </c>
      <c r="F517" s="7">
        <v>91</v>
      </c>
    </row>
    <row r="518" spans="1:6" ht="28" x14ac:dyDescent="0.3">
      <c r="A518" s="6" t="s">
        <v>11</v>
      </c>
      <c r="B518" s="6" t="s">
        <v>68</v>
      </c>
      <c r="C518" s="6">
        <v>2015</v>
      </c>
      <c r="D518" s="6" t="s">
        <v>0</v>
      </c>
      <c r="E518" s="6" t="s">
        <v>4</v>
      </c>
      <c r="F518" s="7">
        <v>102</v>
      </c>
    </row>
    <row r="519" spans="1:6" ht="28" x14ac:dyDescent="0.3">
      <c r="A519" s="6" t="s">
        <v>11</v>
      </c>
      <c r="B519" s="6" t="s">
        <v>69</v>
      </c>
      <c r="C519" s="6">
        <v>2015</v>
      </c>
      <c r="D519" s="6" t="s">
        <v>0</v>
      </c>
      <c r="E519" s="6" t="s">
        <v>4</v>
      </c>
      <c r="F519" s="7">
        <v>6719</v>
      </c>
    </row>
    <row r="520" spans="1:6" ht="28" x14ac:dyDescent="0.3">
      <c r="A520" s="6" t="s">
        <v>11</v>
      </c>
      <c r="B520" s="6" t="s">
        <v>70</v>
      </c>
      <c r="C520" s="6">
        <v>2015</v>
      </c>
      <c r="D520" s="6" t="s">
        <v>0</v>
      </c>
      <c r="E520" s="6" t="s">
        <v>4</v>
      </c>
      <c r="F520" s="7">
        <v>3853</v>
      </c>
    </row>
    <row r="521" spans="1:6" ht="28" x14ac:dyDescent="0.3">
      <c r="A521" s="6" t="s">
        <v>11</v>
      </c>
      <c r="B521" s="6" t="s">
        <v>71</v>
      </c>
      <c r="C521" s="6">
        <v>2015</v>
      </c>
      <c r="D521" s="6" t="s">
        <v>0</v>
      </c>
      <c r="E521" s="6" t="s">
        <v>4</v>
      </c>
      <c r="F521" s="7">
        <v>9</v>
      </c>
    </row>
    <row r="522" spans="1:6" ht="28" x14ac:dyDescent="0.3">
      <c r="A522" s="6" t="s">
        <v>11</v>
      </c>
      <c r="B522" s="6" t="s">
        <v>72</v>
      </c>
      <c r="C522" s="6">
        <v>2015</v>
      </c>
      <c r="D522" s="6" t="s">
        <v>0</v>
      </c>
      <c r="E522" s="6" t="s">
        <v>4</v>
      </c>
      <c r="F522" s="7">
        <v>283</v>
      </c>
    </row>
    <row r="523" spans="1:6" ht="28" x14ac:dyDescent="0.3">
      <c r="A523" s="6" t="s">
        <v>11</v>
      </c>
      <c r="B523" s="6" t="s">
        <v>73</v>
      </c>
      <c r="C523" s="6">
        <v>2015</v>
      </c>
      <c r="D523" s="6" t="s">
        <v>0</v>
      </c>
      <c r="E523" s="6" t="s">
        <v>4</v>
      </c>
      <c r="F523" s="7">
        <v>117</v>
      </c>
    </row>
    <row r="524" spans="1:6" ht="28" x14ac:dyDescent="0.3">
      <c r="A524" s="6" t="s">
        <v>11</v>
      </c>
      <c r="B524" s="6" t="s">
        <v>74</v>
      </c>
      <c r="C524" s="6">
        <v>2015</v>
      </c>
      <c r="D524" s="6" t="s">
        <v>0</v>
      </c>
      <c r="E524" s="6" t="s">
        <v>4</v>
      </c>
      <c r="F524" s="7">
        <v>61</v>
      </c>
    </row>
    <row r="525" spans="1:6" ht="28" x14ac:dyDescent="0.3">
      <c r="A525" s="6" t="s">
        <v>11</v>
      </c>
      <c r="B525" s="6" t="s">
        <v>75</v>
      </c>
      <c r="C525" s="6">
        <v>2015</v>
      </c>
      <c r="D525" s="6" t="s">
        <v>0</v>
      </c>
      <c r="E525" s="6" t="s">
        <v>4</v>
      </c>
      <c r="F525" s="7">
        <v>14721</v>
      </c>
    </row>
    <row r="526" spans="1:6" ht="28" x14ac:dyDescent="0.3">
      <c r="A526" s="6" t="s">
        <v>12</v>
      </c>
      <c r="B526" s="6" t="s">
        <v>81</v>
      </c>
      <c r="C526" s="6">
        <v>2015</v>
      </c>
      <c r="D526" s="6" t="s">
        <v>0</v>
      </c>
      <c r="E526" s="6" t="s">
        <v>4</v>
      </c>
      <c r="F526" s="7">
        <v>72</v>
      </c>
    </row>
    <row r="527" spans="1:6" ht="28" x14ac:dyDescent="0.3">
      <c r="A527" s="6" t="s">
        <v>12</v>
      </c>
      <c r="B527" s="6" t="s">
        <v>82</v>
      </c>
      <c r="C527" s="6">
        <v>2015</v>
      </c>
      <c r="D527" s="6" t="s">
        <v>0</v>
      </c>
      <c r="E527" s="6" t="s">
        <v>4</v>
      </c>
      <c r="F527" s="7">
        <v>310</v>
      </c>
    </row>
    <row r="528" spans="1:6" ht="28" x14ac:dyDescent="0.3">
      <c r="A528" s="6" t="s">
        <v>12</v>
      </c>
      <c r="B528" s="6" t="s">
        <v>83</v>
      </c>
      <c r="C528" s="6">
        <v>2015</v>
      </c>
      <c r="D528" s="6" t="s">
        <v>0</v>
      </c>
      <c r="E528" s="6" t="s">
        <v>4</v>
      </c>
      <c r="F528" s="7">
        <v>247</v>
      </c>
    </row>
    <row r="529" spans="1:6" ht="28" x14ac:dyDescent="0.3">
      <c r="A529" s="6" t="s">
        <v>12</v>
      </c>
      <c r="B529" s="6" t="s">
        <v>84</v>
      </c>
      <c r="C529" s="6">
        <v>2015</v>
      </c>
      <c r="D529" s="6" t="s">
        <v>0</v>
      </c>
      <c r="E529" s="6" t="s">
        <v>4</v>
      </c>
      <c r="F529" s="7">
        <v>119</v>
      </c>
    </row>
    <row r="530" spans="1:6" ht="28" x14ac:dyDescent="0.3">
      <c r="A530" s="6" t="s">
        <v>12</v>
      </c>
      <c r="B530" s="6" t="s">
        <v>85</v>
      </c>
      <c r="C530" s="6">
        <v>2015</v>
      </c>
      <c r="D530" s="6" t="s">
        <v>0</v>
      </c>
      <c r="E530" s="6" t="s">
        <v>4</v>
      </c>
      <c r="F530" s="7">
        <v>2335</v>
      </c>
    </row>
    <row r="531" spans="1:6" ht="28" x14ac:dyDescent="0.3">
      <c r="A531" s="6" t="s">
        <v>12</v>
      </c>
      <c r="B531" s="6" t="s">
        <v>86</v>
      </c>
      <c r="C531" s="6">
        <v>2015</v>
      </c>
      <c r="D531" s="6" t="s">
        <v>0</v>
      </c>
      <c r="E531" s="6" t="s">
        <v>4</v>
      </c>
      <c r="F531" s="7">
        <v>61</v>
      </c>
    </row>
    <row r="532" spans="1:6" ht="28" x14ac:dyDescent="0.3">
      <c r="A532" s="6" t="s">
        <v>12</v>
      </c>
      <c r="B532" s="6" t="s">
        <v>87</v>
      </c>
      <c r="C532" s="6">
        <v>2015</v>
      </c>
      <c r="D532" s="6" t="s">
        <v>0</v>
      </c>
      <c r="E532" s="6" t="s">
        <v>4</v>
      </c>
      <c r="F532" s="7">
        <v>228</v>
      </c>
    </row>
    <row r="533" spans="1:6" ht="28" x14ac:dyDescent="0.3">
      <c r="A533" s="6" t="s">
        <v>12</v>
      </c>
      <c r="B533" s="6" t="s">
        <v>88</v>
      </c>
      <c r="C533" s="6">
        <v>2015</v>
      </c>
      <c r="D533" s="6" t="s">
        <v>0</v>
      </c>
      <c r="E533" s="6" t="s">
        <v>4</v>
      </c>
      <c r="F533" s="7">
        <v>1977</v>
      </c>
    </row>
    <row r="534" spans="1:6" ht="28" x14ac:dyDescent="0.3">
      <c r="A534" s="6" t="s">
        <v>13</v>
      </c>
      <c r="B534" s="6" t="s">
        <v>89</v>
      </c>
      <c r="C534" s="6">
        <v>2015</v>
      </c>
      <c r="D534" s="6" t="s">
        <v>0</v>
      </c>
      <c r="E534" s="6" t="s">
        <v>4</v>
      </c>
      <c r="F534" s="7">
        <v>19</v>
      </c>
    </row>
    <row r="535" spans="1:6" ht="28" x14ac:dyDescent="0.3">
      <c r="A535" s="6" t="s">
        <v>13</v>
      </c>
      <c r="B535" s="6" t="s">
        <v>98</v>
      </c>
      <c r="C535" s="6">
        <v>2015</v>
      </c>
      <c r="D535" s="6" t="s">
        <v>0</v>
      </c>
      <c r="E535" s="6" t="s">
        <v>4</v>
      </c>
      <c r="F535" s="7">
        <v>19</v>
      </c>
    </row>
    <row r="536" spans="1:6" ht="28" x14ac:dyDescent="0.3">
      <c r="A536" s="6" t="s">
        <v>13</v>
      </c>
      <c r="B536" s="6" t="s">
        <v>99</v>
      </c>
      <c r="C536" s="6">
        <v>2015</v>
      </c>
      <c r="D536" s="6" t="s">
        <v>0</v>
      </c>
      <c r="E536" s="6" t="s">
        <v>4</v>
      </c>
      <c r="F536" s="7">
        <v>39</v>
      </c>
    </row>
    <row r="537" spans="1:6" ht="28" x14ac:dyDescent="0.3">
      <c r="A537" s="6" t="s">
        <v>13</v>
      </c>
      <c r="B537" s="6" t="s">
        <v>90</v>
      </c>
      <c r="C537" s="6">
        <v>2015</v>
      </c>
      <c r="D537" s="6" t="s">
        <v>0</v>
      </c>
      <c r="E537" s="6" t="s">
        <v>4</v>
      </c>
      <c r="F537" s="7">
        <v>186</v>
      </c>
    </row>
    <row r="538" spans="1:6" ht="28" x14ac:dyDescent="0.3">
      <c r="A538" s="6" t="s">
        <v>13</v>
      </c>
      <c r="B538" s="6" t="s">
        <v>91</v>
      </c>
      <c r="C538" s="6">
        <v>2015</v>
      </c>
      <c r="D538" s="6" t="s">
        <v>0</v>
      </c>
      <c r="E538" s="6" t="s">
        <v>4</v>
      </c>
      <c r="F538" s="7">
        <v>37</v>
      </c>
    </row>
    <row r="539" spans="1:6" ht="28" x14ac:dyDescent="0.3">
      <c r="A539" s="6" t="s">
        <v>13</v>
      </c>
      <c r="B539" s="6" t="s">
        <v>92</v>
      </c>
      <c r="C539" s="6">
        <v>2015</v>
      </c>
      <c r="D539" s="6" t="s">
        <v>0</v>
      </c>
      <c r="E539" s="6" t="s">
        <v>4</v>
      </c>
      <c r="F539" s="7">
        <v>60</v>
      </c>
    </row>
    <row r="540" spans="1:6" ht="28" x14ac:dyDescent="0.3">
      <c r="A540" s="6" t="s">
        <v>13</v>
      </c>
      <c r="B540" s="6" t="s">
        <v>93</v>
      </c>
      <c r="C540" s="6">
        <v>2015</v>
      </c>
      <c r="D540" s="6" t="s">
        <v>0</v>
      </c>
      <c r="E540" s="6" t="s">
        <v>4</v>
      </c>
      <c r="F540" s="7">
        <v>19</v>
      </c>
    </row>
    <row r="541" spans="1:6" ht="28" x14ac:dyDescent="0.3">
      <c r="A541" s="6" t="s">
        <v>13</v>
      </c>
      <c r="B541" s="6" t="s">
        <v>94</v>
      </c>
      <c r="C541" s="6">
        <v>2015</v>
      </c>
      <c r="D541" s="6" t="s">
        <v>0</v>
      </c>
      <c r="E541" s="6" t="s">
        <v>4</v>
      </c>
      <c r="F541" s="7">
        <v>8</v>
      </c>
    </row>
    <row r="542" spans="1:6" ht="28" x14ac:dyDescent="0.3">
      <c r="A542" s="6" t="s">
        <v>13</v>
      </c>
      <c r="B542" s="6" t="s">
        <v>95</v>
      </c>
      <c r="C542" s="6">
        <v>2015</v>
      </c>
      <c r="D542" s="6" t="s">
        <v>0</v>
      </c>
      <c r="E542" s="6" t="s">
        <v>4</v>
      </c>
      <c r="F542" s="7">
        <v>37</v>
      </c>
    </row>
    <row r="543" spans="1:6" ht="28" x14ac:dyDescent="0.3">
      <c r="A543" s="6" t="s">
        <v>13</v>
      </c>
      <c r="B543" s="6" t="s">
        <v>96</v>
      </c>
      <c r="C543" s="6">
        <v>2015</v>
      </c>
      <c r="D543" s="6" t="s">
        <v>0</v>
      </c>
      <c r="E543" s="6" t="s">
        <v>4</v>
      </c>
      <c r="F543" s="7">
        <v>325</v>
      </c>
    </row>
    <row r="544" spans="1:6" ht="28" x14ac:dyDescent="0.3">
      <c r="A544" s="6" t="s">
        <v>13</v>
      </c>
      <c r="B544" s="6" t="s">
        <v>97</v>
      </c>
      <c r="C544" s="6">
        <v>2015</v>
      </c>
      <c r="D544" s="6" t="s">
        <v>0</v>
      </c>
      <c r="E544" s="6" t="s">
        <v>4</v>
      </c>
      <c r="F544" s="7">
        <v>62</v>
      </c>
    </row>
    <row r="545" spans="1:6" ht="28" x14ac:dyDescent="0.3">
      <c r="A545" s="6" t="s">
        <v>14</v>
      </c>
      <c r="B545" s="6" t="s">
        <v>100</v>
      </c>
      <c r="C545" s="6">
        <v>2015</v>
      </c>
      <c r="D545" s="6" t="s">
        <v>0</v>
      </c>
      <c r="E545" s="6" t="s">
        <v>4</v>
      </c>
      <c r="F545" s="7">
        <v>1669</v>
      </c>
    </row>
    <row r="546" spans="1:6" ht="28" x14ac:dyDescent="0.3">
      <c r="A546" s="6" t="s">
        <v>14</v>
      </c>
      <c r="B546" s="6" t="s">
        <v>101</v>
      </c>
      <c r="C546" s="6">
        <v>2015</v>
      </c>
      <c r="D546" s="6" t="s">
        <v>0</v>
      </c>
      <c r="E546" s="6" t="s">
        <v>4</v>
      </c>
      <c r="F546" s="7">
        <v>284</v>
      </c>
    </row>
    <row r="547" spans="1:6" ht="28" x14ac:dyDescent="0.3">
      <c r="A547" s="6" t="s">
        <v>14</v>
      </c>
      <c r="B547" s="6" t="s">
        <v>102</v>
      </c>
      <c r="C547" s="6">
        <v>2015</v>
      </c>
      <c r="D547" s="6" t="s">
        <v>0</v>
      </c>
      <c r="E547" s="6" t="s">
        <v>4</v>
      </c>
      <c r="F547" s="7">
        <v>4385</v>
      </c>
    </row>
    <row r="548" spans="1:6" ht="28" x14ac:dyDescent="0.3">
      <c r="A548" s="6" t="s">
        <v>14</v>
      </c>
      <c r="B548" s="6" t="s">
        <v>103</v>
      </c>
      <c r="C548" s="6">
        <v>2015</v>
      </c>
      <c r="D548" s="6" t="s">
        <v>0</v>
      </c>
      <c r="E548" s="6" t="s">
        <v>4</v>
      </c>
      <c r="F548" s="7">
        <v>4358</v>
      </c>
    </row>
    <row r="549" spans="1:6" ht="28" x14ac:dyDescent="0.3">
      <c r="A549" s="6" t="s">
        <v>14</v>
      </c>
      <c r="B549" s="6" t="s">
        <v>104</v>
      </c>
      <c r="C549" s="6">
        <v>2015</v>
      </c>
      <c r="D549" s="6" t="s">
        <v>0</v>
      </c>
      <c r="E549" s="6" t="s">
        <v>4</v>
      </c>
      <c r="F549" s="7">
        <v>9122</v>
      </c>
    </row>
    <row r="550" spans="1:6" ht="28" x14ac:dyDescent="0.3">
      <c r="A550" s="6" t="s">
        <v>14</v>
      </c>
      <c r="B550" s="6" t="s">
        <v>105</v>
      </c>
      <c r="C550" s="6">
        <v>2015</v>
      </c>
      <c r="D550" s="6" t="s">
        <v>0</v>
      </c>
      <c r="E550" s="6" t="s">
        <v>4</v>
      </c>
      <c r="F550" s="7">
        <v>2026</v>
      </c>
    </row>
    <row r="551" spans="1:6" ht="28" x14ac:dyDescent="0.3">
      <c r="A551" s="6" t="s">
        <v>15</v>
      </c>
      <c r="B551" s="6" t="s">
        <v>106</v>
      </c>
      <c r="C551" s="6">
        <v>2015</v>
      </c>
      <c r="D551" s="6" t="s">
        <v>0</v>
      </c>
      <c r="E551" s="6" t="s">
        <v>4</v>
      </c>
      <c r="F551" s="7">
        <v>175</v>
      </c>
    </row>
    <row r="552" spans="1:6" ht="28" x14ac:dyDescent="0.3">
      <c r="A552" s="6" t="s">
        <v>15</v>
      </c>
      <c r="B552" s="6" t="s">
        <v>107</v>
      </c>
      <c r="C552" s="6">
        <v>2015</v>
      </c>
      <c r="D552" s="6" t="s">
        <v>0</v>
      </c>
      <c r="E552" s="6" t="s">
        <v>4</v>
      </c>
      <c r="F552" s="7">
        <v>295</v>
      </c>
    </row>
    <row r="553" spans="1:6" ht="28" x14ac:dyDescent="0.3">
      <c r="A553" s="6" t="s">
        <v>15</v>
      </c>
      <c r="B553" s="6" t="s">
        <v>108</v>
      </c>
      <c r="C553" s="6">
        <v>2015</v>
      </c>
      <c r="D553" s="6" t="s">
        <v>0</v>
      </c>
      <c r="E553" s="6" t="s">
        <v>4</v>
      </c>
      <c r="F553" s="7">
        <v>255</v>
      </c>
    </row>
    <row r="554" spans="1:6" ht="28" x14ac:dyDescent="0.3">
      <c r="A554" s="6" t="s">
        <v>6</v>
      </c>
      <c r="B554" s="6" t="s">
        <v>17</v>
      </c>
      <c r="C554" s="6">
        <v>2015</v>
      </c>
      <c r="D554" s="6" t="s">
        <v>1</v>
      </c>
      <c r="E554" s="6" t="s">
        <v>5</v>
      </c>
      <c r="F554" s="7">
        <v>38</v>
      </c>
    </row>
    <row r="555" spans="1:6" ht="28" x14ac:dyDescent="0.3">
      <c r="A555" s="6" t="s">
        <v>6</v>
      </c>
      <c r="B555" s="6" t="s">
        <v>18</v>
      </c>
      <c r="C555" s="6">
        <v>2015</v>
      </c>
      <c r="D555" s="6" t="s">
        <v>1</v>
      </c>
      <c r="E555" s="6" t="s">
        <v>5</v>
      </c>
      <c r="F555" s="7">
        <v>620</v>
      </c>
    </row>
    <row r="556" spans="1:6" ht="28" x14ac:dyDescent="0.3">
      <c r="A556" s="6" t="s">
        <v>6</v>
      </c>
      <c r="B556" s="6" t="s">
        <v>19</v>
      </c>
      <c r="C556" s="6">
        <v>2015</v>
      </c>
      <c r="D556" s="6" t="s">
        <v>1</v>
      </c>
      <c r="E556" s="6" t="s">
        <v>5</v>
      </c>
      <c r="F556" s="7">
        <v>18852</v>
      </c>
    </row>
    <row r="557" spans="1:6" ht="28" x14ac:dyDescent="0.3">
      <c r="A557" s="6" t="s">
        <v>6</v>
      </c>
      <c r="B557" s="6" t="s">
        <v>20</v>
      </c>
      <c r="C557" s="6">
        <v>2015</v>
      </c>
      <c r="D557" s="6" t="s">
        <v>1</v>
      </c>
      <c r="E557" s="6" t="s">
        <v>5</v>
      </c>
      <c r="F557" s="7">
        <v>17291</v>
      </c>
    </row>
    <row r="558" spans="1:6" ht="28" x14ac:dyDescent="0.3">
      <c r="A558" s="6" t="s">
        <v>7</v>
      </c>
      <c r="B558" s="6" t="s">
        <v>21</v>
      </c>
      <c r="C558" s="6">
        <v>2015</v>
      </c>
      <c r="D558" s="6" t="s">
        <v>1</v>
      </c>
      <c r="E558" s="6" t="s">
        <v>5</v>
      </c>
      <c r="F558" s="7">
        <v>5773</v>
      </c>
    </row>
    <row r="559" spans="1:6" ht="28" x14ac:dyDescent="0.3">
      <c r="A559" s="6" t="s">
        <v>7</v>
      </c>
      <c r="B559" s="6" t="s">
        <v>22</v>
      </c>
      <c r="C559" s="6">
        <v>2015</v>
      </c>
      <c r="D559" s="6" t="s">
        <v>1</v>
      </c>
      <c r="E559" s="6" t="s">
        <v>5</v>
      </c>
      <c r="F559" s="7">
        <v>8</v>
      </c>
    </row>
    <row r="560" spans="1:6" ht="28" x14ac:dyDescent="0.3">
      <c r="A560" s="6" t="s">
        <v>7</v>
      </c>
      <c r="B560" s="6" t="s">
        <v>23</v>
      </c>
      <c r="C560" s="6">
        <v>2015</v>
      </c>
      <c r="D560" s="6" t="s">
        <v>1</v>
      </c>
      <c r="E560" s="6" t="s">
        <v>5</v>
      </c>
      <c r="F560" s="7">
        <v>19</v>
      </c>
    </row>
    <row r="561" spans="1:6" ht="28" x14ac:dyDescent="0.3">
      <c r="A561" s="6" t="s">
        <v>8</v>
      </c>
      <c r="B561" s="6" t="s">
        <v>24</v>
      </c>
      <c r="C561" s="6">
        <v>2015</v>
      </c>
      <c r="D561" s="6" t="s">
        <v>1</v>
      </c>
      <c r="E561" s="6" t="s">
        <v>5</v>
      </c>
      <c r="F561" s="7">
        <v>580</v>
      </c>
    </row>
    <row r="562" spans="1:6" ht="28" x14ac:dyDescent="0.3">
      <c r="A562" s="6" t="s">
        <v>8</v>
      </c>
      <c r="B562" s="6" t="s">
        <v>25</v>
      </c>
      <c r="C562" s="6">
        <v>2015</v>
      </c>
      <c r="D562" s="6" t="s">
        <v>1</v>
      </c>
      <c r="E562" s="6" t="s">
        <v>5</v>
      </c>
      <c r="F562" s="7">
        <v>292</v>
      </c>
    </row>
    <row r="563" spans="1:6" ht="28" x14ac:dyDescent="0.3">
      <c r="A563" s="6" t="s">
        <v>9</v>
      </c>
      <c r="B563" s="6" t="s">
        <v>26</v>
      </c>
      <c r="C563" s="6">
        <v>2015</v>
      </c>
      <c r="D563" s="6" t="s">
        <v>1</v>
      </c>
      <c r="E563" s="6" t="s">
        <v>5</v>
      </c>
      <c r="F563" s="7">
        <v>24</v>
      </c>
    </row>
    <row r="564" spans="1:6" ht="28" x14ac:dyDescent="0.3">
      <c r="A564" s="6" t="s">
        <v>9</v>
      </c>
      <c r="B564" s="6" t="s">
        <v>35</v>
      </c>
      <c r="C564" s="6">
        <v>2015</v>
      </c>
      <c r="D564" s="6" t="s">
        <v>1</v>
      </c>
      <c r="E564" s="6" t="s">
        <v>5</v>
      </c>
      <c r="F564" s="7">
        <v>11</v>
      </c>
    </row>
    <row r="565" spans="1:6" ht="28" x14ac:dyDescent="0.3">
      <c r="A565" s="6" t="s">
        <v>9</v>
      </c>
      <c r="B565" s="6" t="s">
        <v>36</v>
      </c>
      <c r="C565" s="6">
        <v>2015</v>
      </c>
      <c r="D565" s="6" t="s">
        <v>1</v>
      </c>
      <c r="E565" s="6" t="s">
        <v>5</v>
      </c>
      <c r="F565" s="7">
        <v>21</v>
      </c>
    </row>
    <row r="566" spans="1:6" ht="28" x14ac:dyDescent="0.3">
      <c r="A566" s="6" t="s">
        <v>9</v>
      </c>
      <c r="B566" s="6" t="s">
        <v>37</v>
      </c>
      <c r="C566" s="6">
        <v>2015</v>
      </c>
      <c r="D566" s="6" t="s">
        <v>1</v>
      </c>
      <c r="E566" s="6" t="s">
        <v>5</v>
      </c>
      <c r="F566" s="7">
        <v>5</v>
      </c>
    </row>
    <row r="567" spans="1:6" ht="28" x14ac:dyDescent="0.3">
      <c r="A567" s="6" t="s">
        <v>9</v>
      </c>
      <c r="B567" s="6" t="s">
        <v>38</v>
      </c>
      <c r="C567" s="6">
        <v>2015</v>
      </c>
      <c r="D567" s="6" t="s">
        <v>1</v>
      </c>
      <c r="E567" s="6" t="s">
        <v>5</v>
      </c>
      <c r="F567" s="7">
        <v>1239</v>
      </c>
    </row>
    <row r="568" spans="1:6" ht="28" x14ac:dyDescent="0.3">
      <c r="A568" s="6" t="s">
        <v>9</v>
      </c>
      <c r="B568" s="6" t="s">
        <v>39</v>
      </c>
      <c r="C568" s="6">
        <v>2015</v>
      </c>
      <c r="D568" s="6" t="s">
        <v>1</v>
      </c>
      <c r="E568" s="6" t="s">
        <v>5</v>
      </c>
      <c r="F568" s="7">
        <v>5</v>
      </c>
    </row>
    <row r="569" spans="1:6" ht="28" x14ac:dyDescent="0.3">
      <c r="A569" s="6" t="s">
        <v>9</v>
      </c>
      <c r="B569" s="6" t="s">
        <v>40</v>
      </c>
      <c r="C569" s="6">
        <v>2015</v>
      </c>
      <c r="D569" s="6" t="s">
        <v>1</v>
      </c>
      <c r="E569" s="6" t="s">
        <v>5</v>
      </c>
      <c r="F569" s="7">
        <v>8</v>
      </c>
    </row>
    <row r="570" spans="1:6" ht="28" x14ac:dyDescent="0.3">
      <c r="A570" s="6" t="s">
        <v>9</v>
      </c>
      <c r="B570" s="6" t="s">
        <v>41</v>
      </c>
      <c r="C570" s="6">
        <v>2015</v>
      </c>
      <c r="D570" s="6" t="s">
        <v>1</v>
      </c>
      <c r="E570" s="6" t="s">
        <v>5</v>
      </c>
      <c r="F570" s="7">
        <v>1766</v>
      </c>
    </row>
    <row r="571" spans="1:6" ht="28" x14ac:dyDescent="0.3">
      <c r="A571" s="6" t="s">
        <v>9</v>
      </c>
      <c r="B571" s="6" t="s">
        <v>42</v>
      </c>
      <c r="C571" s="6">
        <v>2015</v>
      </c>
      <c r="D571" s="6" t="s">
        <v>1</v>
      </c>
      <c r="E571" s="6" t="s">
        <v>5</v>
      </c>
      <c r="F571" s="7">
        <v>5894</v>
      </c>
    </row>
    <row r="572" spans="1:6" ht="28" x14ac:dyDescent="0.3">
      <c r="A572" s="6" t="s">
        <v>9</v>
      </c>
      <c r="B572" s="6" t="s">
        <v>43</v>
      </c>
      <c r="C572" s="6">
        <v>2015</v>
      </c>
      <c r="D572" s="6" t="s">
        <v>1</v>
      </c>
      <c r="E572" s="6" t="s">
        <v>5</v>
      </c>
      <c r="F572" s="7">
        <v>2162</v>
      </c>
    </row>
    <row r="573" spans="1:6" ht="28" x14ac:dyDescent="0.3">
      <c r="A573" s="6" t="s">
        <v>9</v>
      </c>
      <c r="B573" s="6" t="s">
        <v>44</v>
      </c>
      <c r="C573" s="6">
        <v>2015</v>
      </c>
      <c r="D573" s="6" t="s">
        <v>1</v>
      </c>
      <c r="E573" s="6" t="s">
        <v>5</v>
      </c>
      <c r="F573" s="7">
        <v>327</v>
      </c>
    </row>
    <row r="574" spans="1:6" ht="28" x14ac:dyDescent="0.3">
      <c r="A574" s="6" t="s">
        <v>9</v>
      </c>
      <c r="B574" s="6" t="s">
        <v>27</v>
      </c>
      <c r="C574" s="6">
        <v>2015</v>
      </c>
      <c r="D574" s="6" t="s">
        <v>1</v>
      </c>
      <c r="E574" s="6" t="s">
        <v>5</v>
      </c>
      <c r="F574" s="7">
        <v>393</v>
      </c>
    </row>
    <row r="575" spans="1:6" ht="28" x14ac:dyDescent="0.3">
      <c r="A575" s="6" t="s">
        <v>9</v>
      </c>
      <c r="B575" s="6" t="s">
        <v>45</v>
      </c>
      <c r="C575" s="6">
        <v>2015</v>
      </c>
      <c r="D575" s="6" t="s">
        <v>1</v>
      </c>
      <c r="E575" s="6" t="s">
        <v>5</v>
      </c>
      <c r="F575" s="7">
        <v>5</v>
      </c>
    </row>
    <row r="576" spans="1:6" ht="28" x14ac:dyDescent="0.3">
      <c r="A576" s="6" t="s">
        <v>9</v>
      </c>
      <c r="B576" s="6" t="s">
        <v>46</v>
      </c>
      <c r="C576" s="6">
        <v>2015</v>
      </c>
      <c r="D576" s="6" t="s">
        <v>1</v>
      </c>
      <c r="E576" s="6" t="s">
        <v>5</v>
      </c>
      <c r="F576" s="7">
        <v>1446</v>
      </c>
    </row>
    <row r="577" spans="1:6" ht="28" x14ac:dyDescent="0.3">
      <c r="A577" s="6" t="s">
        <v>9</v>
      </c>
      <c r="B577" s="6" t="s">
        <v>47</v>
      </c>
      <c r="C577" s="6">
        <v>2015</v>
      </c>
      <c r="D577" s="6" t="s">
        <v>1</v>
      </c>
      <c r="E577" s="6" t="s">
        <v>5</v>
      </c>
      <c r="F577" s="7">
        <v>6</v>
      </c>
    </row>
    <row r="578" spans="1:6" ht="28" x14ac:dyDescent="0.3">
      <c r="A578" s="6" t="s">
        <v>9</v>
      </c>
      <c r="B578" s="6" t="s">
        <v>48</v>
      </c>
      <c r="C578" s="6">
        <v>2015</v>
      </c>
      <c r="D578" s="6" t="s">
        <v>1</v>
      </c>
      <c r="E578" s="6" t="s">
        <v>5</v>
      </c>
      <c r="F578" s="7">
        <v>1450</v>
      </c>
    </row>
    <row r="579" spans="1:6" ht="28" x14ac:dyDescent="0.3">
      <c r="A579" s="6" t="s">
        <v>9</v>
      </c>
      <c r="B579" s="6" t="s">
        <v>49</v>
      </c>
      <c r="C579" s="6">
        <v>2015</v>
      </c>
      <c r="D579" s="6" t="s">
        <v>1</v>
      </c>
      <c r="E579" s="6" t="s">
        <v>5</v>
      </c>
      <c r="F579" s="7">
        <v>1363</v>
      </c>
    </row>
    <row r="580" spans="1:6" ht="28" x14ac:dyDescent="0.3">
      <c r="A580" s="6" t="s">
        <v>9</v>
      </c>
      <c r="B580" s="6" t="s">
        <v>50</v>
      </c>
      <c r="C580" s="6">
        <v>2015</v>
      </c>
      <c r="D580" s="6" t="s">
        <v>1</v>
      </c>
      <c r="E580" s="6" t="s">
        <v>5</v>
      </c>
      <c r="F580" s="7">
        <v>2187</v>
      </c>
    </row>
    <row r="581" spans="1:6" ht="28" x14ac:dyDescent="0.3">
      <c r="A581" s="6" t="s">
        <v>9</v>
      </c>
      <c r="B581" s="6" t="s">
        <v>51</v>
      </c>
      <c r="C581" s="6">
        <v>2015</v>
      </c>
      <c r="D581" s="6" t="s">
        <v>1</v>
      </c>
      <c r="E581" s="6" t="s">
        <v>5</v>
      </c>
      <c r="F581" s="7">
        <v>2855</v>
      </c>
    </row>
    <row r="582" spans="1:6" ht="28" x14ac:dyDescent="0.3">
      <c r="A582" s="6" t="s">
        <v>9</v>
      </c>
      <c r="B582" s="6" t="s">
        <v>52</v>
      </c>
      <c r="C582" s="6">
        <v>2015</v>
      </c>
      <c r="D582" s="6" t="s">
        <v>1</v>
      </c>
      <c r="E582" s="6" t="s">
        <v>5</v>
      </c>
      <c r="F582" s="7">
        <v>3017</v>
      </c>
    </row>
    <row r="583" spans="1:6" ht="28" x14ac:dyDescent="0.3">
      <c r="A583" s="6" t="s">
        <v>9</v>
      </c>
      <c r="B583" s="6" t="s">
        <v>53</v>
      </c>
      <c r="C583" s="6">
        <v>2015</v>
      </c>
      <c r="D583" s="6" t="s">
        <v>1</v>
      </c>
      <c r="E583" s="6" t="s">
        <v>5</v>
      </c>
      <c r="F583" s="7">
        <v>2551</v>
      </c>
    </row>
    <row r="584" spans="1:6" ht="28" x14ac:dyDescent="0.3">
      <c r="A584" s="6" t="s">
        <v>9</v>
      </c>
      <c r="B584" s="6" t="s">
        <v>54</v>
      </c>
      <c r="C584" s="6">
        <v>2015</v>
      </c>
      <c r="D584" s="6" t="s">
        <v>1</v>
      </c>
      <c r="E584" s="6" t="s">
        <v>5</v>
      </c>
      <c r="F584" s="7">
        <v>1113</v>
      </c>
    </row>
    <row r="585" spans="1:6" ht="28" x14ac:dyDescent="0.3">
      <c r="A585" s="6" t="s">
        <v>9</v>
      </c>
      <c r="B585" s="6" t="s">
        <v>28</v>
      </c>
      <c r="C585" s="6">
        <v>2015</v>
      </c>
      <c r="D585" s="6" t="s">
        <v>1</v>
      </c>
      <c r="E585" s="6" t="s">
        <v>5</v>
      </c>
      <c r="F585" s="7">
        <v>171</v>
      </c>
    </row>
    <row r="586" spans="1:6" ht="28" x14ac:dyDescent="0.3">
      <c r="A586" s="6" t="s">
        <v>9</v>
      </c>
      <c r="B586" s="6" t="s">
        <v>55</v>
      </c>
      <c r="C586" s="6">
        <v>2015</v>
      </c>
      <c r="D586" s="6" t="s">
        <v>1</v>
      </c>
      <c r="E586" s="6" t="s">
        <v>5</v>
      </c>
      <c r="F586" s="7">
        <v>1612</v>
      </c>
    </row>
    <row r="587" spans="1:6" ht="28" x14ac:dyDescent="0.3">
      <c r="A587" s="6" t="s">
        <v>9</v>
      </c>
      <c r="B587" s="6" t="s">
        <v>56</v>
      </c>
      <c r="C587" s="6">
        <v>2015</v>
      </c>
      <c r="D587" s="6" t="s">
        <v>1</v>
      </c>
      <c r="E587" s="6" t="s">
        <v>5</v>
      </c>
      <c r="F587" s="7">
        <v>2020</v>
      </c>
    </row>
    <row r="588" spans="1:6" ht="28" x14ac:dyDescent="0.3">
      <c r="A588" s="6" t="s">
        <v>9</v>
      </c>
      <c r="B588" s="6" t="s">
        <v>57</v>
      </c>
      <c r="C588" s="6">
        <v>2015</v>
      </c>
      <c r="D588" s="6" t="s">
        <v>1</v>
      </c>
      <c r="E588" s="6" t="s">
        <v>5</v>
      </c>
      <c r="F588" s="7">
        <v>1734</v>
      </c>
    </row>
    <row r="589" spans="1:6" ht="28" x14ac:dyDescent="0.3">
      <c r="A589" s="6" t="s">
        <v>9</v>
      </c>
      <c r="B589" s="6" t="s">
        <v>58</v>
      </c>
      <c r="C589" s="6">
        <v>2015</v>
      </c>
      <c r="D589" s="6" t="s">
        <v>1</v>
      </c>
      <c r="E589" s="6" t="s">
        <v>5</v>
      </c>
      <c r="F589" s="7">
        <v>2325</v>
      </c>
    </row>
    <row r="590" spans="1:6" ht="28" x14ac:dyDescent="0.3">
      <c r="A590" s="6" t="s">
        <v>9</v>
      </c>
      <c r="B590" s="6" t="s">
        <v>29</v>
      </c>
      <c r="C590" s="6">
        <v>2015</v>
      </c>
      <c r="D590" s="6" t="s">
        <v>1</v>
      </c>
      <c r="E590" s="6" t="s">
        <v>5</v>
      </c>
      <c r="F590" s="7">
        <v>6</v>
      </c>
    </row>
    <row r="591" spans="1:6" ht="28" x14ac:dyDescent="0.3">
      <c r="A591" s="6" t="s">
        <v>9</v>
      </c>
      <c r="B591" s="6" t="s">
        <v>30</v>
      </c>
      <c r="C591" s="6">
        <v>2015</v>
      </c>
      <c r="D591" s="6" t="s">
        <v>1</v>
      </c>
      <c r="E591" s="6" t="s">
        <v>5</v>
      </c>
      <c r="F591" s="7">
        <v>50</v>
      </c>
    </row>
    <row r="592" spans="1:6" ht="28" x14ac:dyDescent="0.3">
      <c r="A592" s="6" t="s">
        <v>9</v>
      </c>
      <c r="B592" s="6" t="s">
        <v>31</v>
      </c>
      <c r="C592" s="6">
        <v>2015</v>
      </c>
      <c r="D592" s="6" t="s">
        <v>1</v>
      </c>
      <c r="E592" s="6" t="s">
        <v>5</v>
      </c>
      <c r="F592" s="7">
        <v>2098</v>
      </c>
    </row>
    <row r="593" spans="1:6" ht="28" x14ac:dyDescent="0.3">
      <c r="A593" s="6" t="s">
        <v>9</v>
      </c>
      <c r="B593" s="6" t="s">
        <v>32</v>
      </c>
      <c r="C593" s="6">
        <v>2015</v>
      </c>
      <c r="D593" s="6" t="s">
        <v>1</v>
      </c>
      <c r="E593" s="6" t="s">
        <v>5</v>
      </c>
      <c r="F593" s="7">
        <v>11</v>
      </c>
    </row>
    <row r="594" spans="1:6" ht="28" x14ac:dyDescent="0.3">
      <c r="A594" s="6" t="s">
        <v>9</v>
      </c>
      <c r="B594" s="6" t="s">
        <v>33</v>
      </c>
      <c r="C594" s="6">
        <v>2015</v>
      </c>
      <c r="D594" s="6" t="s">
        <v>1</v>
      </c>
      <c r="E594" s="6" t="s">
        <v>5</v>
      </c>
      <c r="F594" s="7">
        <v>8</v>
      </c>
    </row>
    <row r="595" spans="1:6" ht="28" x14ac:dyDescent="0.3">
      <c r="A595" s="6" t="s">
        <v>9</v>
      </c>
      <c r="B595" s="6" t="s">
        <v>34</v>
      </c>
      <c r="C595" s="6">
        <v>2015</v>
      </c>
      <c r="D595" s="6" t="s">
        <v>1</v>
      </c>
      <c r="E595" s="6" t="s">
        <v>5</v>
      </c>
      <c r="F595" s="7">
        <v>172</v>
      </c>
    </row>
    <row r="596" spans="1:6" ht="28" x14ac:dyDescent="0.3">
      <c r="A596" s="6" t="s">
        <v>10</v>
      </c>
      <c r="B596" s="6" t="s">
        <v>59</v>
      </c>
      <c r="C596" s="6">
        <v>2015</v>
      </c>
      <c r="D596" s="6" t="s">
        <v>1</v>
      </c>
      <c r="E596" s="6" t="s">
        <v>5</v>
      </c>
      <c r="F596" s="7">
        <v>461</v>
      </c>
    </row>
    <row r="597" spans="1:6" ht="28" x14ac:dyDescent="0.3">
      <c r="A597" s="6" t="s">
        <v>10</v>
      </c>
      <c r="B597" s="6" t="s">
        <v>60</v>
      </c>
      <c r="C597" s="6">
        <v>2015</v>
      </c>
      <c r="D597" s="6" t="s">
        <v>1</v>
      </c>
      <c r="E597" s="6" t="s">
        <v>5</v>
      </c>
      <c r="F597" s="7">
        <v>17</v>
      </c>
    </row>
    <row r="598" spans="1:6" ht="28" x14ac:dyDescent="0.3">
      <c r="A598" s="6" t="s">
        <v>10</v>
      </c>
      <c r="B598" s="6" t="s">
        <v>61</v>
      </c>
      <c r="C598" s="6">
        <v>2015</v>
      </c>
      <c r="D598" s="6" t="s">
        <v>1</v>
      </c>
      <c r="E598" s="6" t="s">
        <v>5</v>
      </c>
      <c r="F598" s="7">
        <v>55</v>
      </c>
    </row>
    <row r="599" spans="1:6" ht="28" x14ac:dyDescent="0.3">
      <c r="A599" s="6" t="s">
        <v>10</v>
      </c>
      <c r="B599" s="6" t="s">
        <v>62</v>
      </c>
      <c r="C599" s="6">
        <v>2015</v>
      </c>
      <c r="D599" s="6" t="s">
        <v>1</v>
      </c>
      <c r="E599" s="6" t="s">
        <v>5</v>
      </c>
      <c r="F599" s="7">
        <v>9</v>
      </c>
    </row>
    <row r="600" spans="1:6" ht="28" x14ac:dyDescent="0.3">
      <c r="A600" s="6" t="s">
        <v>10</v>
      </c>
      <c r="B600" s="6" t="s">
        <v>63</v>
      </c>
      <c r="C600" s="6">
        <v>2015</v>
      </c>
      <c r="D600" s="6" t="s">
        <v>1</v>
      </c>
      <c r="E600" s="6" t="s">
        <v>5</v>
      </c>
      <c r="F600" s="7">
        <v>142</v>
      </c>
    </row>
    <row r="601" spans="1:6" ht="28" x14ac:dyDescent="0.3">
      <c r="A601" s="6" t="s">
        <v>10</v>
      </c>
      <c r="B601" s="6" t="s">
        <v>64</v>
      </c>
      <c r="C601" s="6">
        <v>2015</v>
      </c>
      <c r="D601" s="6" t="s">
        <v>1</v>
      </c>
      <c r="E601" s="6" t="s">
        <v>5</v>
      </c>
      <c r="F601" s="7">
        <v>15</v>
      </c>
    </row>
    <row r="602" spans="1:6" ht="28" x14ac:dyDescent="0.3">
      <c r="A602" s="6" t="s">
        <v>10</v>
      </c>
      <c r="B602" s="6" t="s">
        <v>65</v>
      </c>
      <c r="C602" s="6">
        <v>2015</v>
      </c>
      <c r="D602" s="6" t="s">
        <v>1</v>
      </c>
      <c r="E602" s="6" t="s">
        <v>5</v>
      </c>
      <c r="F602" s="7">
        <v>961</v>
      </c>
    </row>
    <row r="603" spans="1:6" ht="28" x14ac:dyDescent="0.3">
      <c r="A603" s="6" t="s">
        <v>10</v>
      </c>
      <c r="B603" s="6" t="s">
        <v>66</v>
      </c>
      <c r="C603" s="6">
        <v>2015</v>
      </c>
      <c r="D603" s="6" t="s">
        <v>1</v>
      </c>
      <c r="E603" s="6" t="s">
        <v>5</v>
      </c>
      <c r="F603" s="7">
        <v>37</v>
      </c>
    </row>
    <row r="604" spans="1:6" ht="28" x14ac:dyDescent="0.3">
      <c r="A604" s="6" t="s">
        <v>11</v>
      </c>
      <c r="B604" s="6" t="s">
        <v>67</v>
      </c>
      <c r="C604" s="6">
        <v>2015</v>
      </c>
      <c r="D604" s="6" t="s">
        <v>1</v>
      </c>
      <c r="E604" s="6" t="s">
        <v>5</v>
      </c>
      <c r="F604" s="7">
        <v>54</v>
      </c>
    </row>
    <row r="605" spans="1:6" ht="28" x14ac:dyDescent="0.3">
      <c r="A605" s="6" t="s">
        <v>11</v>
      </c>
      <c r="B605" s="6" t="s">
        <v>76</v>
      </c>
      <c r="C605" s="6">
        <v>2015</v>
      </c>
      <c r="D605" s="6" t="s">
        <v>1</v>
      </c>
      <c r="E605" s="6" t="s">
        <v>5</v>
      </c>
      <c r="F605" s="7">
        <v>86</v>
      </c>
    </row>
    <row r="606" spans="1:6" ht="28" x14ac:dyDescent="0.3">
      <c r="A606" s="6" t="s">
        <v>11</v>
      </c>
      <c r="B606" s="6" t="s">
        <v>77</v>
      </c>
      <c r="C606" s="6">
        <v>2015</v>
      </c>
      <c r="D606" s="6" t="s">
        <v>1</v>
      </c>
      <c r="E606" s="6" t="s">
        <v>5</v>
      </c>
      <c r="F606" s="7">
        <v>54</v>
      </c>
    </row>
    <row r="607" spans="1:6" ht="28" x14ac:dyDescent="0.3">
      <c r="A607" s="6" t="s">
        <v>11</v>
      </c>
      <c r="B607" s="6" t="s">
        <v>78</v>
      </c>
      <c r="C607" s="6">
        <v>2015</v>
      </c>
      <c r="D607" s="6" t="s">
        <v>1</v>
      </c>
      <c r="E607" s="6" t="s">
        <v>5</v>
      </c>
      <c r="F607" s="7">
        <v>29</v>
      </c>
    </row>
    <row r="608" spans="1:6" ht="28" x14ac:dyDescent="0.3">
      <c r="A608" s="6" t="s">
        <v>11</v>
      </c>
      <c r="B608" s="6" t="s">
        <v>79</v>
      </c>
      <c r="C608" s="6">
        <v>2015</v>
      </c>
      <c r="D608" s="6" t="s">
        <v>1</v>
      </c>
      <c r="E608" s="6" t="s">
        <v>5</v>
      </c>
      <c r="F608" s="7">
        <v>13</v>
      </c>
    </row>
    <row r="609" spans="1:6" ht="28" x14ac:dyDescent="0.3">
      <c r="A609" s="6" t="s">
        <v>11</v>
      </c>
      <c r="B609" s="6" t="s">
        <v>80</v>
      </c>
      <c r="C609" s="6">
        <v>2015</v>
      </c>
      <c r="D609" s="6" t="s">
        <v>1</v>
      </c>
      <c r="E609" s="6" t="s">
        <v>5</v>
      </c>
      <c r="F609" s="7">
        <v>30</v>
      </c>
    </row>
    <row r="610" spans="1:6" ht="28" x14ac:dyDescent="0.3">
      <c r="A610" s="6" t="s">
        <v>11</v>
      </c>
      <c r="B610" s="6" t="s">
        <v>68</v>
      </c>
      <c r="C610" s="6">
        <v>2015</v>
      </c>
      <c r="D610" s="6" t="s">
        <v>1</v>
      </c>
      <c r="E610" s="6" t="s">
        <v>5</v>
      </c>
      <c r="F610" s="7">
        <v>74</v>
      </c>
    </row>
    <row r="611" spans="1:6" ht="28" x14ac:dyDescent="0.3">
      <c r="A611" s="6" t="s">
        <v>11</v>
      </c>
      <c r="B611" s="6" t="s">
        <v>69</v>
      </c>
      <c r="C611" s="6">
        <v>2015</v>
      </c>
      <c r="D611" s="6" t="s">
        <v>1</v>
      </c>
      <c r="E611" s="6" t="s">
        <v>5</v>
      </c>
      <c r="F611" s="7">
        <v>1107</v>
      </c>
    </row>
    <row r="612" spans="1:6" ht="28" x14ac:dyDescent="0.3">
      <c r="A612" s="6" t="s">
        <v>11</v>
      </c>
      <c r="B612" s="6" t="s">
        <v>70</v>
      </c>
      <c r="C612" s="6">
        <v>2015</v>
      </c>
      <c r="D612" s="6" t="s">
        <v>1</v>
      </c>
      <c r="E612" s="6" t="s">
        <v>5</v>
      </c>
      <c r="F612" s="7">
        <v>44</v>
      </c>
    </row>
    <row r="613" spans="1:6" ht="28" x14ac:dyDescent="0.3">
      <c r="A613" s="6" t="s">
        <v>11</v>
      </c>
      <c r="B613" s="6" t="s">
        <v>71</v>
      </c>
      <c r="C613" s="6">
        <v>2015</v>
      </c>
      <c r="D613" s="6" t="s">
        <v>1</v>
      </c>
      <c r="E613" s="6" t="s">
        <v>5</v>
      </c>
      <c r="F613" s="7">
        <v>7</v>
      </c>
    </row>
    <row r="614" spans="1:6" ht="28" x14ac:dyDescent="0.3">
      <c r="A614" s="6" t="s">
        <v>11</v>
      </c>
      <c r="B614" s="6" t="s">
        <v>72</v>
      </c>
      <c r="C614" s="6">
        <v>2015</v>
      </c>
      <c r="D614" s="6" t="s">
        <v>1</v>
      </c>
      <c r="E614" s="6" t="s">
        <v>5</v>
      </c>
      <c r="F614" s="7">
        <v>245</v>
      </c>
    </row>
    <row r="615" spans="1:6" ht="28" x14ac:dyDescent="0.3">
      <c r="A615" s="6" t="s">
        <v>11</v>
      </c>
      <c r="B615" s="6" t="s">
        <v>73</v>
      </c>
      <c r="C615" s="6">
        <v>2015</v>
      </c>
      <c r="D615" s="6" t="s">
        <v>1</v>
      </c>
      <c r="E615" s="6" t="s">
        <v>5</v>
      </c>
      <c r="F615" s="7">
        <v>51</v>
      </c>
    </row>
    <row r="616" spans="1:6" ht="28" x14ac:dyDescent="0.3">
      <c r="A616" s="6" t="s">
        <v>11</v>
      </c>
      <c r="B616" s="6" t="s">
        <v>74</v>
      </c>
      <c r="C616" s="6">
        <v>2015</v>
      </c>
      <c r="D616" s="6" t="s">
        <v>1</v>
      </c>
      <c r="E616" s="6" t="s">
        <v>5</v>
      </c>
      <c r="F616" s="7">
        <v>26</v>
      </c>
    </row>
    <row r="617" spans="1:6" ht="28" x14ac:dyDescent="0.3">
      <c r="A617" s="6" t="s">
        <v>11</v>
      </c>
      <c r="B617" s="6" t="s">
        <v>75</v>
      </c>
      <c r="C617" s="6">
        <v>2015</v>
      </c>
      <c r="D617" s="6" t="s">
        <v>1</v>
      </c>
      <c r="E617" s="6" t="s">
        <v>5</v>
      </c>
      <c r="F617" s="7">
        <v>1770</v>
      </c>
    </row>
    <row r="618" spans="1:6" ht="28" x14ac:dyDescent="0.3">
      <c r="A618" s="6" t="s">
        <v>12</v>
      </c>
      <c r="B618" s="6" t="s">
        <v>81</v>
      </c>
      <c r="C618" s="6">
        <v>2015</v>
      </c>
      <c r="D618" s="6" t="s">
        <v>1</v>
      </c>
      <c r="E618" s="6" t="s">
        <v>5</v>
      </c>
      <c r="F618" s="7">
        <v>53</v>
      </c>
    </row>
    <row r="619" spans="1:6" ht="28" x14ac:dyDescent="0.3">
      <c r="A619" s="6" t="s">
        <v>12</v>
      </c>
      <c r="B619" s="6" t="s">
        <v>82</v>
      </c>
      <c r="C619" s="6">
        <v>2015</v>
      </c>
      <c r="D619" s="6" t="s">
        <v>1</v>
      </c>
      <c r="E619" s="6" t="s">
        <v>5</v>
      </c>
      <c r="F619" s="7">
        <v>99</v>
      </c>
    </row>
    <row r="620" spans="1:6" ht="28" x14ac:dyDescent="0.3">
      <c r="A620" s="6" t="s">
        <v>12</v>
      </c>
      <c r="B620" s="6" t="s">
        <v>83</v>
      </c>
      <c r="C620" s="6">
        <v>2015</v>
      </c>
      <c r="D620" s="6" t="s">
        <v>1</v>
      </c>
      <c r="E620" s="6" t="s">
        <v>5</v>
      </c>
      <c r="F620" s="7">
        <v>90</v>
      </c>
    </row>
    <row r="621" spans="1:6" ht="28" x14ac:dyDescent="0.3">
      <c r="A621" s="6" t="s">
        <v>12</v>
      </c>
      <c r="B621" s="6" t="s">
        <v>84</v>
      </c>
      <c r="C621" s="6">
        <v>2015</v>
      </c>
      <c r="D621" s="6" t="s">
        <v>1</v>
      </c>
      <c r="E621" s="6" t="s">
        <v>5</v>
      </c>
      <c r="F621" s="7">
        <v>14</v>
      </c>
    </row>
    <row r="622" spans="1:6" ht="28" x14ac:dyDescent="0.3">
      <c r="A622" s="6" t="s">
        <v>12</v>
      </c>
      <c r="B622" s="6" t="s">
        <v>85</v>
      </c>
      <c r="C622" s="6">
        <v>2015</v>
      </c>
      <c r="D622" s="6" t="s">
        <v>1</v>
      </c>
      <c r="E622" s="6" t="s">
        <v>5</v>
      </c>
      <c r="F622" s="7">
        <v>585</v>
      </c>
    </row>
    <row r="623" spans="1:6" ht="28" x14ac:dyDescent="0.3">
      <c r="A623" s="6" t="s">
        <v>12</v>
      </c>
      <c r="B623" s="6" t="s">
        <v>86</v>
      </c>
      <c r="C623" s="6">
        <v>2015</v>
      </c>
      <c r="D623" s="6" t="s">
        <v>1</v>
      </c>
      <c r="E623" s="6" t="s">
        <v>5</v>
      </c>
      <c r="F623" s="7">
        <v>14</v>
      </c>
    </row>
    <row r="624" spans="1:6" ht="28" x14ac:dyDescent="0.3">
      <c r="A624" s="6" t="s">
        <v>12</v>
      </c>
      <c r="B624" s="6" t="s">
        <v>87</v>
      </c>
      <c r="C624" s="6">
        <v>2015</v>
      </c>
      <c r="D624" s="6" t="s">
        <v>1</v>
      </c>
      <c r="E624" s="6" t="s">
        <v>5</v>
      </c>
      <c r="F624" s="7">
        <v>80</v>
      </c>
    </row>
    <row r="625" spans="1:6" ht="28" x14ac:dyDescent="0.3">
      <c r="A625" s="6" t="s">
        <v>12</v>
      </c>
      <c r="B625" s="6" t="s">
        <v>88</v>
      </c>
      <c r="C625" s="6">
        <v>2015</v>
      </c>
      <c r="D625" s="6" t="s">
        <v>1</v>
      </c>
      <c r="E625" s="6" t="s">
        <v>5</v>
      </c>
      <c r="F625" s="7">
        <v>140</v>
      </c>
    </row>
    <row r="626" spans="1:6" ht="28" x14ac:dyDescent="0.3">
      <c r="A626" s="6" t="s">
        <v>13</v>
      </c>
      <c r="B626" s="6" t="s">
        <v>89</v>
      </c>
      <c r="C626" s="6">
        <v>2015</v>
      </c>
      <c r="D626" s="6" t="s">
        <v>1</v>
      </c>
      <c r="E626" s="6" t="s">
        <v>5</v>
      </c>
      <c r="F626" s="7">
        <v>6</v>
      </c>
    </row>
    <row r="627" spans="1:6" ht="28" x14ac:dyDescent="0.3">
      <c r="A627" s="6" t="s">
        <v>13</v>
      </c>
      <c r="B627" s="6" t="s">
        <v>98</v>
      </c>
      <c r="C627" s="6">
        <v>2015</v>
      </c>
      <c r="D627" s="6" t="s">
        <v>1</v>
      </c>
      <c r="E627" s="6" t="s">
        <v>5</v>
      </c>
      <c r="F627" s="7">
        <v>10</v>
      </c>
    </row>
    <row r="628" spans="1:6" ht="28" x14ac:dyDescent="0.3">
      <c r="A628" s="6" t="s">
        <v>13</v>
      </c>
      <c r="B628" s="6" t="s">
        <v>99</v>
      </c>
      <c r="C628" s="6">
        <v>2015</v>
      </c>
      <c r="D628" s="6" t="s">
        <v>1</v>
      </c>
      <c r="E628" s="6" t="s">
        <v>5</v>
      </c>
      <c r="F628" s="7">
        <v>18</v>
      </c>
    </row>
    <row r="629" spans="1:6" ht="28" x14ac:dyDescent="0.3">
      <c r="A629" s="6" t="s">
        <v>13</v>
      </c>
      <c r="B629" s="6" t="s">
        <v>90</v>
      </c>
      <c r="C629" s="6">
        <v>2015</v>
      </c>
      <c r="D629" s="6" t="s">
        <v>1</v>
      </c>
      <c r="E629" s="6" t="s">
        <v>5</v>
      </c>
      <c r="F629" s="7">
        <v>59</v>
      </c>
    </row>
    <row r="630" spans="1:6" ht="28" x14ac:dyDescent="0.3">
      <c r="A630" s="6" t="s">
        <v>13</v>
      </c>
      <c r="B630" s="6" t="s">
        <v>91</v>
      </c>
      <c r="C630" s="6">
        <v>2015</v>
      </c>
      <c r="D630" s="6" t="s">
        <v>1</v>
      </c>
      <c r="E630" s="6" t="s">
        <v>5</v>
      </c>
      <c r="F630" s="7">
        <v>15</v>
      </c>
    </row>
    <row r="631" spans="1:6" ht="28" x14ac:dyDescent="0.3">
      <c r="A631" s="6" t="s">
        <v>13</v>
      </c>
      <c r="B631" s="6" t="s">
        <v>92</v>
      </c>
      <c r="C631" s="6">
        <v>2015</v>
      </c>
      <c r="D631" s="6" t="s">
        <v>1</v>
      </c>
      <c r="E631" s="6" t="s">
        <v>5</v>
      </c>
      <c r="F631" s="7">
        <v>28</v>
      </c>
    </row>
    <row r="632" spans="1:6" ht="28" x14ac:dyDescent="0.3">
      <c r="A632" s="6" t="s">
        <v>13</v>
      </c>
      <c r="B632" s="6" t="s">
        <v>93</v>
      </c>
      <c r="C632" s="6">
        <v>2015</v>
      </c>
      <c r="D632" s="6" t="s">
        <v>1</v>
      </c>
      <c r="E632" s="6" t="s">
        <v>5</v>
      </c>
      <c r="F632" s="7">
        <v>10</v>
      </c>
    </row>
    <row r="633" spans="1:6" ht="28" x14ac:dyDescent="0.3">
      <c r="A633" s="6" t="s">
        <v>13</v>
      </c>
      <c r="B633" s="6" t="s">
        <v>94</v>
      </c>
      <c r="C633" s="6">
        <v>2015</v>
      </c>
      <c r="D633" s="6" t="s">
        <v>1</v>
      </c>
      <c r="E633" s="6" t="s">
        <v>5</v>
      </c>
      <c r="F633" s="7">
        <v>6</v>
      </c>
    </row>
    <row r="634" spans="1:6" ht="28" x14ac:dyDescent="0.3">
      <c r="A634" s="6" t="s">
        <v>13</v>
      </c>
      <c r="B634" s="6" t="s">
        <v>95</v>
      </c>
      <c r="C634" s="6">
        <v>2015</v>
      </c>
      <c r="D634" s="6" t="s">
        <v>1</v>
      </c>
      <c r="E634" s="6" t="s">
        <v>5</v>
      </c>
      <c r="F634" s="7">
        <v>6</v>
      </c>
    </row>
    <row r="635" spans="1:6" ht="28" x14ac:dyDescent="0.3">
      <c r="A635" s="6" t="s">
        <v>13</v>
      </c>
      <c r="B635" s="6" t="s">
        <v>96</v>
      </c>
      <c r="C635" s="6">
        <v>2015</v>
      </c>
      <c r="D635" s="6" t="s">
        <v>1</v>
      </c>
      <c r="E635" s="6" t="s">
        <v>5</v>
      </c>
      <c r="F635" s="7">
        <v>26</v>
      </c>
    </row>
    <row r="636" spans="1:6" ht="28" x14ac:dyDescent="0.3">
      <c r="A636" s="6" t="s">
        <v>13</v>
      </c>
      <c r="B636" s="6" t="s">
        <v>97</v>
      </c>
      <c r="C636" s="6">
        <v>2015</v>
      </c>
      <c r="D636" s="6" t="s">
        <v>1</v>
      </c>
      <c r="E636" s="6" t="s">
        <v>5</v>
      </c>
      <c r="F636" s="7">
        <v>46</v>
      </c>
    </row>
    <row r="637" spans="1:6" ht="28" x14ac:dyDescent="0.3">
      <c r="A637" s="6" t="s">
        <v>14</v>
      </c>
      <c r="B637" s="6" t="s">
        <v>100</v>
      </c>
      <c r="C637" s="6">
        <v>2015</v>
      </c>
      <c r="D637" s="6" t="s">
        <v>1</v>
      </c>
      <c r="E637" s="6" t="s">
        <v>5</v>
      </c>
      <c r="F637" s="7">
        <v>107</v>
      </c>
    </row>
    <row r="638" spans="1:6" ht="28" x14ac:dyDescent="0.3">
      <c r="A638" s="6" t="s">
        <v>14</v>
      </c>
      <c r="B638" s="6" t="s">
        <v>101</v>
      </c>
      <c r="C638" s="6">
        <v>2015</v>
      </c>
      <c r="D638" s="6" t="s">
        <v>1</v>
      </c>
      <c r="E638" s="6" t="s">
        <v>5</v>
      </c>
      <c r="F638" s="7">
        <v>20</v>
      </c>
    </row>
    <row r="639" spans="1:6" ht="28" x14ac:dyDescent="0.3">
      <c r="A639" s="6" t="s">
        <v>14</v>
      </c>
      <c r="B639" s="6" t="s">
        <v>102</v>
      </c>
      <c r="C639" s="6">
        <v>2015</v>
      </c>
      <c r="D639" s="6" t="s">
        <v>1</v>
      </c>
      <c r="E639" s="6" t="s">
        <v>5</v>
      </c>
      <c r="F639" s="7">
        <v>983</v>
      </c>
    </row>
    <row r="640" spans="1:6" ht="28" x14ac:dyDescent="0.3">
      <c r="A640" s="6" t="s">
        <v>14</v>
      </c>
      <c r="B640" s="6" t="s">
        <v>103</v>
      </c>
      <c r="C640" s="6">
        <v>2015</v>
      </c>
      <c r="D640" s="6" t="s">
        <v>1</v>
      </c>
      <c r="E640" s="6" t="s">
        <v>5</v>
      </c>
      <c r="F640" s="7">
        <v>73</v>
      </c>
    </row>
    <row r="641" spans="1:6" ht="28" x14ac:dyDescent="0.3">
      <c r="A641" s="6" t="s">
        <v>14</v>
      </c>
      <c r="B641" s="6" t="s">
        <v>104</v>
      </c>
      <c r="C641" s="6">
        <v>2015</v>
      </c>
      <c r="D641" s="6" t="s">
        <v>1</v>
      </c>
      <c r="E641" s="6" t="s">
        <v>5</v>
      </c>
      <c r="F641" s="7">
        <v>205</v>
      </c>
    </row>
    <row r="642" spans="1:6" ht="28" x14ac:dyDescent="0.3">
      <c r="A642" s="6" t="s">
        <v>14</v>
      </c>
      <c r="B642" s="6" t="s">
        <v>105</v>
      </c>
      <c r="C642" s="6">
        <v>2015</v>
      </c>
      <c r="D642" s="6" t="s">
        <v>1</v>
      </c>
      <c r="E642" s="6" t="s">
        <v>5</v>
      </c>
      <c r="F642" s="7">
        <v>160</v>
      </c>
    </row>
    <row r="643" spans="1:6" ht="28" x14ac:dyDescent="0.3">
      <c r="A643" s="6" t="s">
        <v>15</v>
      </c>
      <c r="B643" s="6" t="s">
        <v>106</v>
      </c>
      <c r="C643" s="6">
        <v>2015</v>
      </c>
      <c r="D643" s="6" t="s">
        <v>1</v>
      </c>
      <c r="E643" s="6" t="s">
        <v>5</v>
      </c>
      <c r="F643" s="7">
        <v>49</v>
      </c>
    </row>
    <row r="644" spans="1:6" ht="28" x14ac:dyDescent="0.3">
      <c r="A644" s="6" t="s">
        <v>15</v>
      </c>
      <c r="B644" s="6" t="s">
        <v>107</v>
      </c>
      <c r="C644" s="6">
        <v>2015</v>
      </c>
      <c r="D644" s="6" t="s">
        <v>1</v>
      </c>
      <c r="E644" s="6" t="s">
        <v>5</v>
      </c>
      <c r="F644" s="7">
        <v>182</v>
      </c>
    </row>
    <row r="645" spans="1:6" ht="28" x14ac:dyDescent="0.3">
      <c r="A645" s="6" t="s">
        <v>15</v>
      </c>
      <c r="B645" s="6" t="s">
        <v>108</v>
      </c>
      <c r="C645" s="6">
        <v>2015</v>
      </c>
      <c r="D645" s="6" t="s">
        <v>1</v>
      </c>
      <c r="E645" s="6" t="s">
        <v>5</v>
      </c>
      <c r="F645" s="7">
        <v>44</v>
      </c>
    </row>
    <row r="646" spans="1:6" ht="28" x14ac:dyDescent="0.3">
      <c r="A646" s="6" t="s">
        <v>6</v>
      </c>
      <c r="B646" s="6" t="s">
        <v>17</v>
      </c>
      <c r="C646" s="6">
        <v>2015</v>
      </c>
      <c r="D646" s="6" t="s">
        <v>1</v>
      </c>
      <c r="E646" s="6" t="s">
        <v>4</v>
      </c>
      <c r="F646" s="7">
        <v>6</v>
      </c>
    </row>
    <row r="647" spans="1:6" ht="28" x14ac:dyDescent="0.3">
      <c r="A647" s="6" t="s">
        <v>6</v>
      </c>
      <c r="B647" s="6" t="s">
        <v>18</v>
      </c>
      <c r="C647" s="6">
        <v>2015</v>
      </c>
      <c r="D647" s="6" t="s">
        <v>1</v>
      </c>
      <c r="E647" s="6" t="s">
        <v>4</v>
      </c>
      <c r="F647" s="7">
        <v>1670</v>
      </c>
    </row>
    <row r="648" spans="1:6" ht="28" x14ac:dyDescent="0.3">
      <c r="A648" s="6" t="s">
        <v>6</v>
      </c>
      <c r="B648" s="6" t="s">
        <v>19</v>
      </c>
      <c r="C648" s="6">
        <v>2015</v>
      </c>
      <c r="D648" s="6" t="s">
        <v>1</v>
      </c>
      <c r="E648" s="6" t="s">
        <v>4</v>
      </c>
      <c r="F648" s="7">
        <v>1250</v>
      </c>
    </row>
    <row r="649" spans="1:6" ht="28" x14ac:dyDescent="0.3">
      <c r="A649" s="6" t="s">
        <v>6</v>
      </c>
      <c r="B649" s="6" t="s">
        <v>20</v>
      </c>
      <c r="C649" s="6">
        <v>2015</v>
      </c>
      <c r="D649" s="6" t="s">
        <v>1</v>
      </c>
      <c r="E649" s="6" t="s">
        <v>4</v>
      </c>
      <c r="F649" s="7">
        <v>2233</v>
      </c>
    </row>
    <row r="650" spans="1:6" ht="28" x14ac:dyDescent="0.3">
      <c r="A650" s="6" t="s">
        <v>7</v>
      </c>
      <c r="B650" s="6" t="s">
        <v>21</v>
      </c>
      <c r="C650" s="6">
        <v>2015</v>
      </c>
      <c r="D650" s="6" t="s">
        <v>1</v>
      </c>
      <c r="E650" s="6" t="s">
        <v>4</v>
      </c>
      <c r="F650" s="7">
        <v>1017</v>
      </c>
    </row>
    <row r="651" spans="1:6" ht="28" x14ac:dyDescent="0.3">
      <c r="A651" s="6" t="s">
        <v>7</v>
      </c>
      <c r="B651" s="6" t="s">
        <v>22</v>
      </c>
      <c r="C651" s="6">
        <v>2015</v>
      </c>
      <c r="D651" s="6" t="s">
        <v>1</v>
      </c>
      <c r="E651" s="6" t="s">
        <v>4</v>
      </c>
      <c r="F651" s="7">
        <v>6</v>
      </c>
    </row>
    <row r="652" spans="1:6" ht="28" x14ac:dyDescent="0.3">
      <c r="A652" s="6" t="s">
        <v>7</v>
      </c>
      <c r="B652" s="6" t="s">
        <v>23</v>
      </c>
      <c r="C652" s="6">
        <v>2015</v>
      </c>
      <c r="D652" s="6" t="s">
        <v>1</v>
      </c>
      <c r="E652" s="6" t="s">
        <v>4</v>
      </c>
      <c r="F652" s="7">
        <v>5</v>
      </c>
    </row>
    <row r="653" spans="1:6" ht="28" x14ac:dyDescent="0.3">
      <c r="A653" s="6" t="s">
        <v>8</v>
      </c>
      <c r="B653" s="6" t="s">
        <v>24</v>
      </c>
      <c r="C653" s="6">
        <v>2015</v>
      </c>
      <c r="D653" s="6" t="s">
        <v>1</v>
      </c>
      <c r="E653" s="6" t="s">
        <v>4</v>
      </c>
      <c r="F653" s="7">
        <v>112</v>
      </c>
    </row>
    <row r="654" spans="1:6" ht="28" x14ac:dyDescent="0.3">
      <c r="A654" s="6" t="s">
        <v>8</v>
      </c>
      <c r="B654" s="6" t="s">
        <v>25</v>
      </c>
      <c r="C654" s="6">
        <v>2015</v>
      </c>
      <c r="D654" s="6" t="s">
        <v>1</v>
      </c>
      <c r="E654" s="6" t="s">
        <v>4</v>
      </c>
      <c r="F654" s="7">
        <v>60</v>
      </c>
    </row>
    <row r="655" spans="1:6" ht="28" x14ac:dyDescent="0.3">
      <c r="A655" s="6" t="s">
        <v>9</v>
      </c>
      <c r="B655" s="6" t="s">
        <v>26</v>
      </c>
      <c r="C655" s="6">
        <v>2015</v>
      </c>
      <c r="D655" s="6" t="s">
        <v>1</v>
      </c>
      <c r="E655" s="6" t="s">
        <v>4</v>
      </c>
      <c r="F655" s="7">
        <v>6</v>
      </c>
    </row>
    <row r="656" spans="1:6" ht="28" x14ac:dyDescent="0.3">
      <c r="A656" s="6" t="s">
        <v>9</v>
      </c>
      <c r="B656" s="6" t="s">
        <v>35</v>
      </c>
      <c r="C656" s="6">
        <v>2015</v>
      </c>
      <c r="D656" s="6" t="s">
        <v>1</v>
      </c>
      <c r="E656" s="6" t="s">
        <v>4</v>
      </c>
      <c r="F656" s="7">
        <v>6</v>
      </c>
    </row>
    <row r="657" spans="1:6" ht="28" x14ac:dyDescent="0.3">
      <c r="A657" s="6" t="s">
        <v>9</v>
      </c>
      <c r="B657" s="6" t="s">
        <v>36</v>
      </c>
      <c r="C657" s="6">
        <v>2015</v>
      </c>
      <c r="D657" s="6" t="s">
        <v>1</v>
      </c>
      <c r="E657" s="6" t="s">
        <v>4</v>
      </c>
      <c r="F657" s="7">
        <v>9</v>
      </c>
    </row>
    <row r="658" spans="1:6" ht="28" x14ac:dyDescent="0.3">
      <c r="A658" s="6" t="s">
        <v>9</v>
      </c>
      <c r="B658" s="6" t="s">
        <v>37</v>
      </c>
      <c r="C658" s="6">
        <v>2015</v>
      </c>
      <c r="D658" s="6" t="s">
        <v>1</v>
      </c>
      <c r="E658" s="6" t="s">
        <v>4</v>
      </c>
      <c r="F658" s="7">
        <v>5</v>
      </c>
    </row>
    <row r="659" spans="1:6" ht="28" x14ac:dyDescent="0.3">
      <c r="A659" s="6" t="s">
        <v>9</v>
      </c>
      <c r="B659" s="6" t="s">
        <v>38</v>
      </c>
      <c r="C659" s="6">
        <v>2015</v>
      </c>
      <c r="D659" s="6" t="s">
        <v>1</v>
      </c>
      <c r="E659" s="6" t="s">
        <v>4</v>
      </c>
      <c r="F659" s="7">
        <v>202</v>
      </c>
    </row>
    <row r="660" spans="1:6" ht="28" x14ac:dyDescent="0.3">
      <c r="A660" s="6" t="s">
        <v>9</v>
      </c>
      <c r="B660" s="6" t="s">
        <v>39</v>
      </c>
      <c r="C660" s="6">
        <v>2015</v>
      </c>
      <c r="D660" s="6" t="s">
        <v>1</v>
      </c>
      <c r="E660" s="6" t="s">
        <v>4</v>
      </c>
      <c r="F660" s="7">
        <v>5</v>
      </c>
    </row>
    <row r="661" spans="1:6" ht="28" x14ac:dyDescent="0.3">
      <c r="A661" s="6" t="s">
        <v>9</v>
      </c>
      <c r="B661" s="6" t="s">
        <v>40</v>
      </c>
      <c r="C661" s="6">
        <v>2015</v>
      </c>
      <c r="D661" s="6" t="s">
        <v>1</v>
      </c>
      <c r="E661" s="6" t="s">
        <v>4</v>
      </c>
      <c r="F661" s="7">
        <v>6</v>
      </c>
    </row>
    <row r="662" spans="1:6" ht="28" x14ac:dyDescent="0.3">
      <c r="A662" s="6" t="s">
        <v>9</v>
      </c>
      <c r="B662" s="6" t="s">
        <v>41</v>
      </c>
      <c r="C662" s="6">
        <v>2015</v>
      </c>
      <c r="D662" s="6" t="s">
        <v>1</v>
      </c>
      <c r="E662" s="6" t="s">
        <v>4</v>
      </c>
      <c r="F662" s="7">
        <v>327</v>
      </c>
    </row>
    <row r="663" spans="1:6" ht="28" x14ac:dyDescent="0.3">
      <c r="A663" s="6" t="s">
        <v>9</v>
      </c>
      <c r="B663" s="6" t="s">
        <v>42</v>
      </c>
      <c r="C663" s="6">
        <v>2015</v>
      </c>
      <c r="D663" s="6" t="s">
        <v>1</v>
      </c>
      <c r="E663" s="6" t="s">
        <v>4</v>
      </c>
      <c r="F663" s="7">
        <v>591</v>
      </c>
    </row>
    <row r="664" spans="1:6" ht="28" x14ac:dyDescent="0.3">
      <c r="A664" s="6" t="s">
        <v>9</v>
      </c>
      <c r="B664" s="6" t="s">
        <v>43</v>
      </c>
      <c r="C664" s="6">
        <v>2015</v>
      </c>
      <c r="D664" s="6" t="s">
        <v>1</v>
      </c>
      <c r="E664" s="6" t="s">
        <v>4</v>
      </c>
      <c r="F664" s="7">
        <v>247</v>
      </c>
    </row>
    <row r="665" spans="1:6" ht="28" x14ac:dyDescent="0.3">
      <c r="A665" s="6" t="s">
        <v>9</v>
      </c>
      <c r="B665" s="6" t="s">
        <v>44</v>
      </c>
      <c r="C665" s="6">
        <v>2015</v>
      </c>
      <c r="D665" s="6" t="s">
        <v>1</v>
      </c>
      <c r="E665" s="6" t="s">
        <v>4</v>
      </c>
      <c r="F665" s="7">
        <v>81</v>
      </c>
    </row>
    <row r="666" spans="1:6" ht="28" x14ac:dyDescent="0.3">
      <c r="A666" s="6" t="s">
        <v>9</v>
      </c>
      <c r="B666" s="6" t="s">
        <v>27</v>
      </c>
      <c r="C666" s="6">
        <v>2015</v>
      </c>
      <c r="D666" s="6" t="s">
        <v>1</v>
      </c>
      <c r="E666" s="6" t="s">
        <v>4</v>
      </c>
      <c r="F666" s="7">
        <v>28</v>
      </c>
    </row>
    <row r="667" spans="1:6" ht="28" x14ac:dyDescent="0.3">
      <c r="A667" s="6" t="s">
        <v>9</v>
      </c>
      <c r="B667" s="6" t="s">
        <v>45</v>
      </c>
      <c r="C667" s="6">
        <v>2015</v>
      </c>
      <c r="D667" s="6" t="s">
        <v>1</v>
      </c>
      <c r="E667" s="6" t="s">
        <v>4</v>
      </c>
      <c r="F667" s="7">
        <v>5</v>
      </c>
    </row>
    <row r="668" spans="1:6" ht="28" x14ac:dyDescent="0.3">
      <c r="A668" s="6" t="s">
        <v>9</v>
      </c>
      <c r="B668" s="6" t="s">
        <v>46</v>
      </c>
      <c r="C668" s="6">
        <v>2015</v>
      </c>
      <c r="D668" s="6" t="s">
        <v>1</v>
      </c>
      <c r="E668" s="6" t="s">
        <v>4</v>
      </c>
      <c r="F668" s="7">
        <v>266</v>
      </c>
    </row>
    <row r="669" spans="1:6" ht="28" x14ac:dyDescent="0.3">
      <c r="A669" s="6" t="s">
        <v>9</v>
      </c>
      <c r="B669" s="6" t="s">
        <v>47</v>
      </c>
      <c r="C669" s="6">
        <v>2015</v>
      </c>
      <c r="D669" s="6" t="s">
        <v>1</v>
      </c>
      <c r="E669" s="6" t="s">
        <v>4</v>
      </c>
      <c r="F669" s="7">
        <v>5</v>
      </c>
    </row>
    <row r="670" spans="1:6" ht="28" x14ac:dyDescent="0.3">
      <c r="A670" s="6" t="s">
        <v>9</v>
      </c>
      <c r="B670" s="6" t="s">
        <v>48</v>
      </c>
      <c r="C670" s="6">
        <v>2015</v>
      </c>
      <c r="D670" s="6" t="s">
        <v>1</v>
      </c>
      <c r="E670" s="6" t="s">
        <v>4</v>
      </c>
      <c r="F670" s="7">
        <v>85</v>
      </c>
    </row>
    <row r="671" spans="1:6" ht="28" x14ac:dyDescent="0.3">
      <c r="A671" s="6" t="s">
        <v>9</v>
      </c>
      <c r="B671" s="6" t="s">
        <v>49</v>
      </c>
      <c r="C671" s="6">
        <v>2015</v>
      </c>
      <c r="D671" s="6" t="s">
        <v>1</v>
      </c>
      <c r="E671" s="6" t="s">
        <v>4</v>
      </c>
      <c r="F671" s="7">
        <v>180</v>
      </c>
    </row>
    <row r="672" spans="1:6" ht="28" x14ac:dyDescent="0.3">
      <c r="A672" s="6" t="s">
        <v>9</v>
      </c>
      <c r="B672" s="6" t="s">
        <v>50</v>
      </c>
      <c r="C672" s="6">
        <v>2015</v>
      </c>
      <c r="D672" s="6" t="s">
        <v>1</v>
      </c>
      <c r="E672" s="6" t="s">
        <v>4</v>
      </c>
      <c r="F672" s="7">
        <v>359</v>
      </c>
    </row>
    <row r="673" spans="1:6" ht="28" x14ac:dyDescent="0.3">
      <c r="A673" s="6" t="s">
        <v>9</v>
      </c>
      <c r="B673" s="6" t="s">
        <v>51</v>
      </c>
      <c r="C673" s="6">
        <v>2015</v>
      </c>
      <c r="D673" s="6" t="s">
        <v>1</v>
      </c>
      <c r="E673" s="6" t="s">
        <v>4</v>
      </c>
      <c r="F673" s="7">
        <v>547</v>
      </c>
    </row>
    <row r="674" spans="1:6" ht="28" x14ac:dyDescent="0.3">
      <c r="A674" s="6" t="s">
        <v>9</v>
      </c>
      <c r="B674" s="6" t="s">
        <v>52</v>
      </c>
      <c r="C674" s="6">
        <v>2015</v>
      </c>
      <c r="D674" s="6" t="s">
        <v>1</v>
      </c>
      <c r="E674" s="6" t="s">
        <v>4</v>
      </c>
      <c r="F674" s="7">
        <v>524</v>
      </c>
    </row>
    <row r="675" spans="1:6" ht="28" x14ac:dyDescent="0.3">
      <c r="A675" s="6" t="s">
        <v>9</v>
      </c>
      <c r="B675" s="6" t="s">
        <v>53</v>
      </c>
      <c r="C675" s="6">
        <v>2015</v>
      </c>
      <c r="D675" s="6" t="s">
        <v>1</v>
      </c>
      <c r="E675" s="6" t="s">
        <v>4</v>
      </c>
      <c r="F675" s="7">
        <v>434</v>
      </c>
    </row>
    <row r="676" spans="1:6" ht="28" x14ac:dyDescent="0.3">
      <c r="A676" s="6" t="s">
        <v>9</v>
      </c>
      <c r="B676" s="6" t="s">
        <v>54</v>
      </c>
      <c r="C676" s="6">
        <v>2015</v>
      </c>
      <c r="D676" s="6" t="s">
        <v>1</v>
      </c>
      <c r="E676" s="6" t="s">
        <v>4</v>
      </c>
      <c r="F676" s="7">
        <v>115</v>
      </c>
    </row>
    <row r="677" spans="1:6" ht="28" x14ac:dyDescent="0.3">
      <c r="A677" s="6" t="s">
        <v>9</v>
      </c>
      <c r="B677" s="6" t="s">
        <v>28</v>
      </c>
      <c r="C677" s="6">
        <v>2015</v>
      </c>
      <c r="D677" s="6" t="s">
        <v>1</v>
      </c>
      <c r="E677" s="6" t="s">
        <v>4</v>
      </c>
      <c r="F677" s="7">
        <v>102</v>
      </c>
    </row>
    <row r="678" spans="1:6" ht="28" x14ac:dyDescent="0.3">
      <c r="A678" s="6" t="s">
        <v>9</v>
      </c>
      <c r="B678" s="6" t="s">
        <v>55</v>
      </c>
      <c r="C678" s="6">
        <v>2015</v>
      </c>
      <c r="D678" s="6" t="s">
        <v>1</v>
      </c>
      <c r="E678" s="6" t="s">
        <v>4</v>
      </c>
      <c r="F678" s="7">
        <v>239</v>
      </c>
    </row>
    <row r="679" spans="1:6" ht="28" x14ac:dyDescent="0.3">
      <c r="A679" s="6" t="s">
        <v>9</v>
      </c>
      <c r="B679" s="6" t="s">
        <v>56</v>
      </c>
      <c r="C679" s="6">
        <v>2015</v>
      </c>
      <c r="D679" s="6" t="s">
        <v>1</v>
      </c>
      <c r="E679" s="6" t="s">
        <v>4</v>
      </c>
      <c r="F679" s="7">
        <v>405</v>
      </c>
    </row>
    <row r="680" spans="1:6" ht="28" x14ac:dyDescent="0.3">
      <c r="A680" s="6" t="s">
        <v>9</v>
      </c>
      <c r="B680" s="6" t="s">
        <v>57</v>
      </c>
      <c r="C680" s="6">
        <v>2015</v>
      </c>
      <c r="D680" s="6" t="s">
        <v>1</v>
      </c>
      <c r="E680" s="6" t="s">
        <v>4</v>
      </c>
      <c r="F680" s="7">
        <v>142</v>
      </c>
    </row>
    <row r="681" spans="1:6" ht="28" x14ac:dyDescent="0.3">
      <c r="A681" s="6" t="s">
        <v>9</v>
      </c>
      <c r="B681" s="6" t="s">
        <v>58</v>
      </c>
      <c r="C681" s="6">
        <v>2015</v>
      </c>
      <c r="D681" s="6" t="s">
        <v>1</v>
      </c>
      <c r="E681" s="6" t="s">
        <v>4</v>
      </c>
      <c r="F681" s="7">
        <v>400</v>
      </c>
    </row>
    <row r="682" spans="1:6" ht="28" x14ac:dyDescent="0.3">
      <c r="A682" s="6" t="s">
        <v>9</v>
      </c>
      <c r="B682" s="6" t="s">
        <v>29</v>
      </c>
      <c r="C682" s="6">
        <v>2015</v>
      </c>
      <c r="D682" s="6" t="s">
        <v>1</v>
      </c>
      <c r="E682" s="6" t="s">
        <v>4</v>
      </c>
      <c r="F682" s="7">
        <v>6</v>
      </c>
    </row>
    <row r="683" spans="1:6" ht="28" x14ac:dyDescent="0.3">
      <c r="A683" s="6" t="s">
        <v>9</v>
      </c>
      <c r="B683" s="6" t="s">
        <v>30</v>
      </c>
      <c r="C683" s="6">
        <v>2015</v>
      </c>
      <c r="D683" s="6" t="s">
        <v>1</v>
      </c>
      <c r="E683" s="6" t="s">
        <v>4</v>
      </c>
      <c r="F683" s="7">
        <v>6</v>
      </c>
    </row>
    <row r="684" spans="1:6" ht="28" x14ac:dyDescent="0.3">
      <c r="A684" s="6" t="s">
        <v>9</v>
      </c>
      <c r="B684" s="6" t="s">
        <v>31</v>
      </c>
      <c r="C684" s="6">
        <v>2015</v>
      </c>
      <c r="D684" s="6" t="s">
        <v>1</v>
      </c>
      <c r="E684" s="6" t="s">
        <v>4</v>
      </c>
      <c r="F684" s="7">
        <v>273</v>
      </c>
    </row>
    <row r="685" spans="1:6" ht="28" x14ac:dyDescent="0.3">
      <c r="A685" s="6" t="s">
        <v>9</v>
      </c>
      <c r="B685" s="6" t="s">
        <v>32</v>
      </c>
      <c r="C685" s="6">
        <v>2015</v>
      </c>
      <c r="D685" s="6" t="s">
        <v>1</v>
      </c>
      <c r="E685" s="6" t="s">
        <v>4</v>
      </c>
      <c r="F685" s="7">
        <v>6</v>
      </c>
    </row>
    <row r="686" spans="1:6" ht="28" x14ac:dyDescent="0.3">
      <c r="A686" s="6" t="s">
        <v>9</v>
      </c>
      <c r="B686" s="6" t="s">
        <v>33</v>
      </c>
      <c r="C686" s="6">
        <v>2015</v>
      </c>
      <c r="D686" s="6" t="s">
        <v>1</v>
      </c>
      <c r="E686" s="6" t="s">
        <v>4</v>
      </c>
      <c r="F686" s="7">
        <v>6</v>
      </c>
    </row>
    <row r="687" spans="1:6" ht="28" x14ac:dyDescent="0.3">
      <c r="A687" s="6" t="s">
        <v>9</v>
      </c>
      <c r="B687" s="6" t="s">
        <v>34</v>
      </c>
      <c r="C687" s="6">
        <v>2015</v>
      </c>
      <c r="D687" s="6" t="s">
        <v>1</v>
      </c>
      <c r="E687" s="6" t="s">
        <v>4</v>
      </c>
      <c r="F687" s="7">
        <v>14</v>
      </c>
    </row>
    <row r="688" spans="1:6" ht="28" x14ac:dyDescent="0.3">
      <c r="A688" s="6" t="s">
        <v>10</v>
      </c>
      <c r="B688" s="6" t="s">
        <v>59</v>
      </c>
      <c r="C688" s="6">
        <v>2015</v>
      </c>
      <c r="D688" s="6" t="s">
        <v>1</v>
      </c>
      <c r="E688" s="6" t="s">
        <v>4</v>
      </c>
      <c r="F688" s="7">
        <v>74</v>
      </c>
    </row>
    <row r="689" spans="1:6" ht="28" x14ac:dyDescent="0.3">
      <c r="A689" s="6" t="s">
        <v>10</v>
      </c>
      <c r="B689" s="6" t="s">
        <v>60</v>
      </c>
      <c r="C689" s="6">
        <v>2015</v>
      </c>
      <c r="D689" s="6" t="s">
        <v>1</v>
      </c>
      <c r="E689" s="6" t="s">
        <v>4</v>
      </c>
      <c r="F689" s="7">
        <v>7</v>
      </c>
    </row>
    <row r="690" spans="1:6" ht="28" x14ac:dyDescent="0.3">
      <c r="A690" s="6" t="s">
        <v>10</v>
      </c>
      <c r="B690" s="6" t="s">
        <v>61</v>
      </c>
      <c r="C690" s="6">
        <v>2015</v>
      </c>
      <c r="D690" s="6" t="s">
        <v>1</v>
      </c>
      <c r="E690" s="6" t="s">
        <v>4</v>
      </c>
      <c r="F690" s="7">
        <v>9</v>
      </c>
    </row>
    <row r="691" spans="1:6" ht="28" x14ac:dyDescent="0.3">
      <c r="A691" s="6" t="s">
        <v>10</v>
      </c>
      <c r="B691" s="6" t="s">
        <v>62</v>
      </c>
      <c r="C691" s="6">
        <v>2015</v>
      </c>
      <c r="D691" s="6" t="s">
        <v>1</v>
      </c>
      <c r="E691" s="6" t="s">
        <v>4</v>
      </c>
      <c r="F691" s="7">
        <v>6</v>
      </c>
    </row>
    <row r="692" spans="1:6" ht="28" x14ac:dyDescent="0.3">
      <c r="A692" s="6" t="s">
        <v>10</v>
      </c>
      <c r="B692" s="6" t="s">
        <v>63</v>
      </c>
      <c r="C692" s="6">
        <v>2015</v>
      </c>
      <c r="D692" s="6" t="s">
        <v>1</v>
      </c>
      <c r="E692" s="6" t="s">
        <v>4</v>
      </c>
      <c r="F692" s="7">
        <v>25</v>
      </c>
    </row>
    <row r="693" spans="1:6" ht="28" x14ac:dyDescent="0.3">
      <c r="A693" s="6" t="s">
        <v>10</v>
      </c>
      <c r="B693" s="6" t="s">
        <v>64</v>
      </c>
      <c r="C693" s="6">
        <v>2015</v>
      </c>
      <c r="D693" s="6" t="s">
        <v>1</v>
      </c>
      <c r="E693" s="6" t="s">
        <v>4</v>
      </c>
      <c r="F693" s="7">
        <v>9</v>
      </c>
    </row>
    <row r="694" spans="1:6" ht="28" x14ac:dyDescent="0.3">
      <c r="A694" s="6" t="s">
        <v>10</v>
      </c>
      <c r="B694" s="6" t="s">
        <v>65</v>
      </c>
      <c r="C694" s="6">
        <v>2015</v>
      </c>
      <c r="D694" s="6" t="s">
        <v>1</v>
      </c>
      <c r="E694" s="6" t="s">
        <v>4</v>
      </c>
      <c r="F694" s="7">
        <v>240</v>
      </c>
    </row>
    <row r="695" spans="1:6" ht="28" x14ac:dyDescent="0.3">
      <c r="A695" s="6" t="s">
        <v>10</v>
      </c>
      <c r="B695" s="6" t="s">
        <v>66</v>
      </c>
      <c r="C695" s="6">
        <v>2015</v>
      </c>
      <c r="D695" s="6" t="s">
        <v>1</v>
      </c>
      <c r="E695" s="6" t="s">
        <v>4</v>
      </c>
      <c r="F695" s="7">
        <v>6</v>
      </c>
    </row>
    <row r="696" spans="1:6" ht="28" x14ac:dyDescent="0.3">
      <c r="A696" s="6" t="s">
        <v>11</v>
      </c>
      <c r="B696" s="6" t="s">
        <v>67</v>
      </c>
      <c r="C696" s="6">
        <v>2015</v>
      </c>
      <c r="D696" s="6" t="s">
        <v>1</v>
      </c>
      <c r="E696" s="6" t="s">
        <v>4</v>
      </c>
      <c r="F696" s="7">
        <v>13</v>
      </c>
    </row>
    <row r="697" spans="1:6" ht="28" x14ac:dyDescent="0.3">
      <c r="A697" s="6" t="s">
        <v>11</v>
      </c>
      <c r="B697" s="6" t="s">
        <v>76</v>
      </c>
      <c r="C697" s="6">
        <v>2015</v>
      </c>
      <c r="D697" s="6" t="s">
        <v>1</v>
      </c>
      <c r="E697" s="6" t="s">
        <v>4</v>
      </c>
      <c r="F697" s="7">
        <v>6</v>
      </c>
    </row>
    <row r="698" spans="1:6" ht="28" x14ac:dyDescent="0.3">
      <c r="A698" s="6" t="s">
        <v>11</v>
      </c>
      <c r="B698" s="6" t="s">
        <v>77</v>
      </c>
      <c r="C698" s="6">
        <v>2015</v>
      </c>
      <c r="D698" s="6" t="s">
        <v>1</v>
      </c>
      <c r="E698" s="6" t="s">
        <v>4</v>
      </c>
      <c r="F698" s="7">
        <v>6</v>
      </c>
    </row>
    <row r="699" spans="1:6" ht="28" x14ac:dyDescent="0.3">
      <c r="A699" s="6" t="s">
        <v>11</v>
      </c>
      <c r="B699" s="6" t="s">
        <v>78</v>
      </c>
      <c r="C699" s="6">
        <v>2015</v>
      </c>
      <c r="D699" s="6" t="s">
        <v>1</v>
      </c>
      <c r="E699" s="6" t="s">
        <v>4</v>
      </c>
      <c r="F699" s="7">
        <v>9</v>
      </c>
    </row>
    <row r="700" spans="1:6" ht="28" x14ac:dyDescent="0.3">
      <c r="A700" s="6" t="s">
        <v>11</v>
      </c>
      <c r="B700" s="6" t="s">
        <v>79</v>
      </c>
      <c r="C700" s="6">
        <v>2015</v>
      </c>
      <c r="D700" s="6" t="s">
        <v>1</v>
      </c>
      <c r="E700" s="6" t="s">
        <v>4</v>
      </c>
      <c r="F700" s="7">
        <v>6</v>
      </c>
    </row>
    <row r="701" spans="1:6" ht="28" x14ac:dyDescent="0.3">
      <c r="A701" s="6" t="s">
        <v>11</v>
      </c>
      <c r="B701" s="6" t="s">
        <v>80</v>
      </c>
      <c r="C701" s="6">
        <v>2015</v>
      </c>
      <c r="D701" s="6" t="s">
        <v>1</v>
      </c>
      <c r="E701" s="6" t="s">
        <v>4</v>
      </c>
      <c r="F701" s="7">
        <v>6</v>
      </c>
    </row>
    <row r="702" spans="1:6" ht="28" x14ac:dyDescent="0.3">
      <c r="A702" s="6" t="s">
        <v>11</v>
      </c>
      <c r="B702" s="6" t="s">
        <v>68</v>
      </c>
      <c r="C702" s="6">
        <v>2015</v>
      </c>
      <c r="D702" s="6" t="s">
        <v>1</v>
      </c>
      <c r="E702" s="6" t="s">
        <v>4</v>
      </c>
      <c r="F702" s="7">
        <v>6</v>
      </c>
    </row>
    <row r="703" spans="1:6" ht="28" x14ac:dyDescent="0.3">
      <c r="A703" s="6" t="s">
        <v>11</v>
      </c>
      <c r="B703" s="6" t="s">
        <v>69</v>
      </c>
      <c r="C703" s="6">
        <v>2015</v>
      </c>
      <c r="D703" s="6" t="s">
        <v>1</v>
      </c>
      <c r="E703" s="6" t="s">
        <v>4</v>
      </c>
      <c r="F703" s="7">
        <v>197</v>
      </c>
    </row>
    <row r="704" spans="1:6" ht="28" x14ac:dyDescent="0.3">
      <c r="A704" s="6" t="s">
        <v>11</v>
      </c>
      <c r="B704" s="6" t="s">
        <v>70</v>
      </c>
      <c r="C704" s="6">
        <v>2015</v>
      </c>
      <c r="D704" s="6" t="s">
        <v>1</v>
      </c>
      <c r="E704" s="6" t="s">
        <v>4</v>
      </c>
      <c r="F704" s="7">
        <v>17</v>
      </c>
    </row>
    <row r="705" spans="1:6" ht="28" x14ac:dyDescent="0.3">
      <c r="A705" s="6" t="s">
        <v>11</v>
      </c>
      <c r="B705" s="6" t="s">
        <v>71</v>
      </c>
      <c r="C705" s="6">
        <v>2015</v>
      </c>
      <c r="D705" s="6" t="s">
        <v>1</v>
      </c>
      <c r="E705" s="6" t="s">
        <v>4</v>
      </c>
      <c r="F705" s="7">
        <v>5</v>
      </c>
    </row>
    <row r="706" spans="1:6" ht="28" x14ac:dyDescent="0.3">
      <c r="A706" s="6" t="s">
        <v>11</v>
      </c>
      <c r="B706" s="6" t="s">
        <v>72</v>
      </c>
      <c r="C706" s="6">
        <v>2015</v>
      </c>
      <c r="D706" s="6" t="s">
        <v>1</v>
      </c>
      <c r="E706" s="6" t="s">
        <v>4</v>
      </c>
      <c r="F706" s="7">
        <v>26</v>
      </c>
    </row>
    <row r="707" spans="1:6" ht="28" x14ac:dyDescent="0.3">
      <c r="A707" s="6" t="s">
        <v>11</v>
      </c>
      <c r="B707" s="6" t="s">
        <v>73</v>
      </c>
      <c r="C707" s="6">
        <v>2015</v>
      </c>
      <c r="D707" s="6" t="s">
        <v>1</v>
      </c>
      <c r="E707" s="6" t="s">
        <v>4</v>
      </c>
      <c r="F707" s="7">
        <v>9</v>
      </c>
    </row>
    <row r="708" spans="1:6" ht="28" x14ac:dyDescent="0.3">
      <c r="A708" s="6" t="s">
        <v>11</v>
      </c>
      <c r="B708" s="6" t="s">
        <v>74</v>
      </c>
      <c r="C708" s="6">
        <v>2015</v>
      </c>
      <c r="D708" s="6" t="s">
        <v>1</v>
      </c>
      <c r="E708" s="6" t="s">
        <v>4</v>
      </c>
      <c r="F708" s="7">
        <v>6</v>
      </c>
    </row>
    <row r="709" spans="1:6" ht="28" x14ac:dyDescent="0.3">
      <c r="A709" s="6" t="s">
        <v>11</v>
      </c>
      <c r="B709" s="6" t="s">
        <v>75</v>
      </c>
      <c r="C709" s="6">
        <v>2015</v>
      </c>
      <c r="D709" s="6" t="s">
        <v>1</v>
      </c>
      <c r="E709" s="6" t="s">
        <v>4</v>
      </c>
      <c r="F709" s="7">
        <v>106</v>
      </c>
    </row>
    <row r="710" spans="1:6" ht="28" x14ac:dyDescent="0.3">
      <c r="A710" s="6" t="s">
        <v>12</v>
      </c>
      <c r="B710" s="6" t="s">
        <v>81</v>
      </c>
      <c r="C710" s="6">
        <v>2015</v>
      </c>
      <c r="D710" s="6" t="s">
        <v>1</v>
      </c>
      <c r="E710" s="6" t="s">
        <v>4</v>
      </c>
      <c r="F710" s="7">
        <v>18</v>
      </c>
    </row>
    <row r="711" spans="1:6" ht="28" x14ac:dyDescent="0.3">
      <c r="A711" s="6" t="s">
        <v>12</v>
      </c>
      <c r="B711" s="6" t="s">
        <v>82</v>
      </c>
      <c r="C711" s="6">
        <v>2015</v>
      </c>
      <c r="D711" s="6" t="s">
        <v>1</v>
      </c>
      <c r="E711" s="6" t="s">
        <v>4</v>
      </c>
      <c r="F711" s="7">
        <v>15</v>
      </c>
    </row>
    <row r="712" spans="1:6" ht="28" x14ac:dyDescent="0.3">
      <c r="A712" s="6" t="s">
        <v>12</v>
      </c>
      <c r="B712" s="6" t="s">
        <v>83</v>
      </c>
      <c r="C712" s="6">
        <v>2015</v>
      </c>
      <c r="D712" s="6" t="s">
        <v>1</v>
      </c>
      <c r="E712" s="6" t="s">
        <v>4</v>
      </c>
      <c r="F712" s="7">
        <v>16</v>
      </c>
    </row>
    <row r="713" spans="1:6" ht="28" x14ac:dyDescent="0.3">
      <c r="A713" s="6" t="s">
        <v>12</v>
      </c>
      <c r="B713" s="6" t="s">
        <v>84</v>
      </c>
      <c r="C713" s="6">
        <v>2015</v>
      </c>
      <c r="D713" s="6" t="s">
        <v>1</v>
      </c>
      <c r="E713" s="6" t="s">
        <v>4</v>
      </c>
      <c r="F713" s="7">
        <v>6</v>
      </c>
    </row>
    <row r="714" spans="1:6" ht="28" x14ac:dyDescent="0.3">
      <c r="A714" s="6" t="s">
        <v>12</v>
      </c>
      <c r="B714" s="6" t="s">
        <v>85</v>
      </c>
      <c r="C714" s="6">
        <v>2015</v>
      </c>
      <c r="D714" s="6" t="s">
        <v>1</v>
      </c>
      <c r="E714" s="6" t="s">
        <v>4</v>
      </c>
      <c r="F714" s="7">
        <v>125</v>
      </c>
    </row>
    <row r="715" spans="1:6" ht="28" x14ac:dyDescent="0.3">
      <c r="A715" s="6" t="s">
        <v>12</v>
      </c>
      <c r="B715" s="6" t="s">
        <v>86</v>
      </c>
      <c r="C715" s="6">
        <v>2015</v>
      </c>
      <c r="D715" s="6" t="s">
        <v>1</v>
      </c>
      <c r="E715" s="6" t="s">
        <v>4</v>
      </c>
      <c r="F715" s="7">
        <v>11</v>
      </c>
    </row>
    <row r="716" spans="1:6" ht="28" x14ac:dyDescent="0.3">
      <c r="A716" s="6" t="s">
        <v>12</v>
      </c>
      <c r="B716" s="6" t="s">
        <v>87</v>
      </c>
      <c r="C716" s="6">
        <v>2015</v>
      </c>
      <c r="D716" s="6" t="s">
        <v>1</v>
      </c>
      <c r="E716" s="6" t="s">
        <v>4</v>
      </c>
      <c r="F716" s="7">
        <v>69</v>
      </c>
    </row>
    <row r="717" spans="1:6" ht="28" x14ac:dyDescent="0.3">
      <c r="A717" s="6" t="s">
        <v>12</v>
      </c>
      <c r="B717" s="6" t="s">
        <v>88</v>
      </c>
      <c r="C717" s="6">
        <v>2015</v>
      </c>
      <c r="D717" s="6" t="s">
        <v>1</v>
      </c>
      <c r="E717" s="6" t="s">
        <v>4</v>
      </c>
      <c r="F717" s="7">
        <v>19</v>
      </c>
    </row>
    <row r="718" spans="1:6" ht="28" x14ac:dyDescent="0.3">
      <c r="A718" s="6" t="s">
        <v>13</v>
      </c>
      <c r="B718" s="6" t="s">
        <v>89</v>
      </c>
      <c r="C718" s="6">
        <v>2015</v>
      </c>
      <c r="D718" s="6" t="s">
        <v>1</v>
      </c>
      <c r="E718" s="6" t="s">
        <v>4</v>
      </c>
      <c r="F718" s="7">
        <v>5</v>
      </c>
    </row>
    <row r="719" spans="1:6" ht="28" x14ac:dyDescent="0.3">
      <c r="A719" s="6" t="s">
        <v>13</v>
      </c>
      <c r="B719" s="6" t="s">
        <v>98</v>
      </c>
      <c r="C719" s="6">
        <v>2015</v>
      </c>
      <c r="D719" s="6" t="s">
        <v>1</v>
      </c>
      <c r="E719" s="6" t="s">
        <v>4</v>
      </c>
      <c r="F719" s="7">
        <v>6</v>
      </c>
    </row>
    <row r="720" spans="1:6" ht="28" x14ac:dyDescent="0.3">
      <c r="A720" s="6" t="s">
        <v>13</v>
      </c>
      <c r="B720" s="6" t="s">
        <v>99</v>
      </c>
      <c r="C720" s="6">
        <v>2015</v>
      </c>
      <c r="D720" s="6" t="s">
        <v>1</v>
      </c>
      <c r="E720" s="6" t="s">
        <v>4</v>
      </c>
      <c r="F720" s="7">
        <v>6</v>
      </c>
    </row>
    <row r="721" spans="1:6" ht="28" x14ac:dyDescent="0.3">
      <c r="A721" s="6" t="s">
        <v>13</v>
      </c>
      <c r="B721" s="6" t="s">
        <v>90</v>
      </c>
      <c r="C721" s="6">
        <v>2015</v>
      </c>
      <c r="D721" s="6" t="s">
        <v>1</v>
      </c>
      <c r="E721" s="6" t="s">
        <v>4</v>
      </c>
      <c r="F721" s="7">
        <v>6</v>
      </c>
    </row>
    <row r="722" spans="1:6" ht="28" x14ac:dyDescent="0.3">
      <c r="A722" s="6" t="s">
        <v>13</v>
      </c>
      <c r="B722" s="6" t="s">
        <v>91</v>
      </c>
      <c r="C722" s="6">
        <v>2015</v>
      </c>
      <c r="D722" s="6" t="s">
        <v>1</v>
      </c>
      <c r="E722" s="6" t="s">
        <v>4</v>
      </c>
      <c r="F722" s="7">
        <v>5</v>
      </c>
    </row>
    <row r="723" spans="1:6" ht="28" x14ac:dyDescent="0.3">
      <c r="A723" s="6" t="s">
        <v>13</v>
      </c>
      <c r="B723" s="6" t="s">
        <v>92</v>
      </c>
      <c r="C723" s="6">
        <v>2015</v>
      </c>
      <c r="D723" s="6" t="s">
        <v>1</v>
      </c>
      <c r="E723" s="6" t="s">
        <v>4</v>
      </c>
      <c r="F723" s="7">
        <v>6</v>
      </c>
    </row>
    <row r="724" spans="1:6" ht="28" x14ac:dyDescent="0.3">
      <c r="A724" s="6" t="s">
        <v>13</v>
      </c>
      <c r="B724" s="6" t="s">
        <v>93</v>
      </c>
      <c r="C724" s="6">
        <v>2015</v>
      </c>
      <c r="D724" s="6" t="s">
        <v>1</v>
      </c>
      <c r="E724" s="6" t="s">
        <v>4</v>
      </c>
      <c r="F724" s="7">
        <v>10</v>
      </c>
    </row>
    <row r="725" spans="1:6" ht="28" x14ac:dyDescent="0.3">
      <c r="A725" s="6" t="s">
        <v>13</v>
      </c>
      <c r="B725" s="6" t="s">
        <v>94</v>
      </c>
      <c r="C725" s="6">
        <v>2015</v>
      </c>
      <c r="D725" s="6" t="s">
        <v>1</v>
      </c>
      <c r="E725" s="6" t="s">
        <v>4</v>
      </c>
      <c r="F725" s="7">
        <v>6</v>
      </c>
    </row>
    <row r="726" spans="1:6" ht="28" x14ac:dyDescent="0.3">
      <c r="A726" s="6" t="s">
        <v>13</v>
      </c>
      <c r="B726" s="6" t="s">
        <v>95</v>
      </c>
      <c r="C726" s="6">
        <v>2015</v>
      </c>
      <c r="D726" s="6" t="s">
        <v>1</v>
      </c>
      <c r="E726" s="6" t="s">
        <v>4</v>
      </c>
      <c r="F726" s="7">
        <v>5</v>
      </c>
    </row>
    <row r="727" spans="1:6" ht="28" x14ac:dyDescent="0.3">
      <c r="A727" s="6" t="s">
        <v>13</v>
      </c>
      <c r="B727" s="6" t="s">
        <v>96</v>
      </c>
      <c r="C727" s="6">
        <v>2015</v>
      </c>
      <c r="D727" s="6" t="s">
        <v>1</v>
      </c>
      <c r="E727" s="6" t="s">
        <v>4</v>
      </c>
      <c r="F727" s="7">
        <v>6</v>
      </c>
    </row>
    <row r="728" spans="1:6" ht="28" x14ac:dyDescent="0.3">
      <c r="A728" s="6" t="s">
        <v>13</v>
      </c>
      <c r="B728" s="6" t="s">
        <v>97</v>
      </c>
      <c r="C728" s="6">
        <v>2015</v>
      </c>
      <c r="D728" s="6" t="s">
        <v>1</v>
      </c>
      <c r="E728" s="6" t="s">
        <v>4</v>
      </c>
      <c r="F728" s="7">
        <v>6</v>
      </c>
    </row>
    <row r="729" spans="1:6" ht="28" x14ac:dyDescent="0.3">
      <c r="A729" s="6" t="s">
        <v>14</v>
      </c>
      <c r="B729" s="6" t="s">
        <v>100</v>
      </c>
      <c r="C729" s="6">
        <v>2015</v>
      </c>
      <c r="D729" s="6" t="s">
        <v>1</v>
      </c>
      <c r="E729" s="6" t="s">
        <v>4</v>
      </c>
      <c r="F729" s="7">
        <v>51</v>
      </c>
    </row>
    <row r="730" spans="1:6" ht="28" x14ac:dyDescent="0.3">
      <c r="A730" s="6" t="s">
        <v>14</v>
      </c>
      <c r="B730" s="6" t="s">
        <v>101</v>
      </c>
      <c r="C730" s="6">
        <v>2015</v>
      </c>
      <c r="D730" s="6" t="s">
        <v>1</v>
      </c>
      <c r="E730" s="6" t="s">
        <v>4</v>
      </c>
      <c r="F730" s="7">
        <v>6</v>
      </c>
    </row>
    <row r="731" spans="1:6" ht="28" x14ac:dyDescent="0.3">
      <c r="A731" s="6" t="s">
        <v>14</v>
      </c>
      <c r="B731" s="6" t="s">
        <v>102</v>
      </c>
      <c r="C731" s="6">
        <v>2015</v>
      </c>
      <c r="D731" s="6" t="s">
        <v>1</v>
      </c>
      <c r="E731" s="6" t="s">
        <v>4</v>
      </c>
      <c r="F731" s="7">
        <v>472</v>
      </c>
    </row>
    <row r="732" spans="1:6" ht="28" x14ac:dyDescent="0.3">
      <c r="A732" s="6" t="s">
        <v>14</v>
      </c>
      <c r="B732" s="6" t="s">
        <v>103</v>
      </c>
      <c r="C732" s="6">
        <v>2015</v>
      </c>
      <c r="D732" s="6" t="s">
        <v>1</v>
      </c>
      <c r="E732" s="6" t="s">
        <v>4</v>
      </c>
      <c r="F732" s="7">
        <v>415</v>
      </c>
    </row>
    <row r="733" spans="1:6" ht="28" x14ac:dyDescent="0.3">
      <c r="A733" s="6" t="s">
        <v>14</v>
      </c>
      <c r="B733" s="6" t="s">
        <v>104</v>
      </c>
      <c r="C733" s="6">
        <v>2015</v>
      </c>
      <c r="D733" s="6" t="s">
        <v>1</v>
      </c>
      <c r="E733" s="6" t="s">
        <v>4</v>
      </c>
      <c r="F733" s="7">
        <v>187</v>
      </c>
    </row>
    <row r="734" spans="1:6" ht="28" x14ac:dyDescent="0.3">
      <c r="A734" s="6" t="s">
        <v>14</v>
      </c>
      <c r="B734" s="6" t="s">
        <v>105</v>
      </c>
      <c r="C734" s="6">
        <v>2015</v>
      </c>
      <c r="D734" s="6" t="s">
        <v>1</v>
      </c>
      <c r="E734" s="6" t="s">
        <v>4</v>
      </c>
      <c r="F734" s="7">
        <v>14</v>
      </c>
    </row>
    <row r="735" spans="1:6" ht="28" x14ac:dyDescent="0.3">
      <c r="A735" s="6" t="s">
        <v>15</v>
      </c>
      <c r="B735" s="6" t="s">
        <v>106</v>
      </c>
      <c r="C735" s="6">
        <v>2015</v>
      </c>
      <c r="D735" s="6" t="s">
        <v>1</v>
      </c>
      <c r="E735" s="6" t="s">
        <v>4</v>
      </c>
      <c r="F735" s="7">
        <v>6</v>
      </c>
    </row>
    <row r="736" spans="1:6" ht="28" x14ac:dyDescent="0.3">
      <c r="A736" s="6" t="s">
        <v>15</v>
      </c>
      <c r="B736" s="6" t="s">
        <v>107</v>
      </c>
      <c r="C736" s="6">
        <v>2015</v>
      </c>
      <c r="D736" s="6" t="s">
        <v>1</v>
      </c>
      <c r="E736" s="6" t="s">
        <v>4</v>
      </c>
      <c r="F736" s="7">
        <v>14</v>
      </c>
    </row>
    <row r="737" spans="1:6" ht="28" x14ac:dyDescent="0.3">
      <c r="A737" s="6" t="s">
        <v>15</v>
      </c>
      <c r="B737" s="6" t="s">
        <v>108</v>
      </c>
      <c r="C737" s="6">
        <v>2015</v>
      </c>
      <c r="D737" s="6" t="s">
        <v>1</v>
      </c>
      <c r="E737" s="6" t="s">
        <v>4</v>
      </c>
      <c r="F737" s="7">
        <v>6</v>
      </c>
    </row>
    <row r="738" spans="1:6" ht="28" x14ac:dyDescent="0.3">
      <c r="A738" s="6" t="s">
        <v>6</v>
      </c>
      <c r="B738" s="6" t="s">
        <v>17</v>
      </c>
      <c r="C738" s="6">
        <v>2016</v>
      </c>
      <c r="D738" s="6" t="s">
        <v>0</v>
      </c>
      <c r="E738" s="6" t="s">
        <v>5</v>
      </c>
      <c r="F738" s="7">
        <v>212</v>
      </c>
    </row>
    <row r="739" spans="1:6" ht="28" x14ac:dyDescent="0.3">
      <c r="A739" s="6" t="s">
        <v>6</v>
      </c>
      <c r="B739" s="6" t="s">
        <v>18</v>
      </c>
      <c r="C739" s="6">
        <v>2016</v>
      </c>
      <c r="D739" s="6" t="s">
        <v>0</v>
      </c>
      <c r="E739" s="6" t="s">
        <v>5</v>
      </c>
      <c r="F739" s="7">
        <v>2020</v>
      </c>
    </row>
    <row r="740" spans="1:6" ht="28" x14ac:dyDescent="0.3">
      <c r="A740" s="6" t="s">
        <v>6</v>
      </c>
      <c r="B740" s="6" t="s">
        <v>19</v>
      </c>
      <c r="C740" s="6">
        <v>2016</v>
      </c>
      <c r="D740" s="6" t="s">
        <v>0</v>
      </c>
      <c r="E740" s="6" t="s">
        <v>5</v>
      </c>
      <c r="F740" s="7">
        <v>18</v>
      </c>
    </row>
    <row r="741" spans="1:6" ht="28" x14ac:dyDescent="0.3">
      <c r="A741" s="6" t="s">
        <v>6</v>
      </c>
      <c r="B741" s="6" t="s">
        <v>20</v>
      </c>
      <c r="C741" s="6">
        <v>2016</v>
      </c>
      <c r="D741" s="6" t="s">
        <v>0</v>
      </c>
      <c r="E741" s="6" t="s">
        <v>5</v>
      </c>
      <c r="F741" s="7">
        <v>40218</v>
      </c>
    </row>
    <row r="742" spans="1:6" ht="28" x14ac:dyDescent="0.3">
      <c r="A742" s="6" t="s">
        <v>7</v>
      </c>
      <c r="B742" s="6" t="s">
        <v>21</v>
      </c>
      <c r="C742" s="6">
        <v>2016</v>
      </c>
      <c r="D742" s="6" t="s">
        <v>0</v>
      </c>
      <c r="E742" s="6" t="s">
        <v>5</v>
      </c>
      <c r="F742" s="7">
        <v>8828</v>
      </c>
    </row>
    <row r="743" spans="1:6" ht="28" x14ac:dyDescent="0.3">
      <c r="A743" s="6" t="s">
        <v>7</v>
      </c>
      <c r="B743" s="6" t="s">
        <v>22</v>
      </c>
      <c r="C743" s="6">
        <v>2016</v>
      </c>
      <c r="D743" s="6" t="s">
        <v>0</v>
      </c>
      <c r="E743" s="6" t="s">
        <v>5</v>
      </c>
      <c r="F743" s="7">
        <v>40</v>
      </c>
    </row>
    <row r="744" spans="1:6" ht="28" x14ac:dyDescent="0.3">
      <c r="A744" s="6" t="s">
        <v>7</v>
      </c>
      <c r="B744" s="6" t="s">
        <v>23</v>
      </c>
      <c r="C744" s="6">
        <v>2016</v>
      </c>
      <c r="D744" s="6" t="s">
        <v>0</v>
      </c>
      <c r="E744" s="6" t="s">
        <v>5</v>
      </c>
      <c r="F744" s="7">
        <v>79</v>
      </c>
    </row>
    <row r="745" spans="1:6" ht="28" x14ac:dyDescent="0.3">
      <c r="A745" s="6" t="s">
        <v>8</v>
      </c>
      <c r="B745" s="6" t="s">
        <v>24</v>
      </c>
      <c r="C745" s="6">
        <v>2016</v>
      </c>
      <c r="D745" s="6" t="s">
        <v>0</v>
      </c>
      <c r="E745" s="6" t="s">
        <v>5</v>
      </c>
      <c r="F745" s="7">
        <v>2893</v>
      </c>
    </row>
    <row r="746" spans="1:6" ht="28" x14ac:dyDescent="0.3">
      <c r="A746" s="6" t="s">
        <v>8</v>
      </c>
      <c r="B746" s="6" t="s">
        <v>25</v>
      </c>
      <c r="C746" s="6">
        <v>2016</v>
      </c>
      <c r="D746" s="6" t="s">
        <v>0</v>
      </c>
      <c r="E746" s="6" t="s">
        <v>5</v>
      </c>
      <c r="F746" s="7">
        <v>906</v>
      </c>
    </row>
    <row r="747" spans="1:6" ht="28" x14ac:dyDescent="0.3">
      <c r="A747" s="6" t="s">
        <v>9</v>
      </c>
      <c r="B747" s="6" t="s">
        <v>26</v>
      </c>
      <c r="C747" s="6">
        <v>2016</v>
      </c>
      <c r="D747" s="6" t="s">
        <v>0</v>
      </c>
      <c r="E747" s="6" t="s">
        <v>5</v>
      </c>
      <c r="F747" s="7">
        <v>95</v>
      </c>
    </row>
    <row r="748" spans="1:6" ht="28" x14ac:dyDescent="0.3">
      <c r="A748" s="6" t="s">
        <v>9</v>
      </c>
      <c r="B748" s="6" t="s">
        <v>35</v>
      </c>
      <c r="C748" s="6">
        <v>2016</v>
      </c>
      <c r="D748" s="6" t="s">
        <v>0</v>
      </c>
      <c r="E748" s="6" t="s">
        <v>5</v>
      </c>
      <c r="F748" s="7">
        <v>65</v>
      </c>
    </row>
    <row r="749" spans="1:6" ht="28" x14ac:dyDescent="0.3">
      <c r="A749" s="6" t="s">
        <v>9</v>
      </c>
      <c r="B749" s="6" t="s">
        <v>36</v>
      </c>
      <c r="C749" s="6">
        <v>2016</v>
      </c>
      <c r="D749" s="6" t="s">
        <v>0</v>
      </c>
      <c r="E749" s="6" t="s">
        <v>5</v>
      </c>
      <c r="F749" s="7">
        <v>104</v>
      </c>
    </row>
    <row r="750" spans="1:6" ht="28" x14ac:dyDescent="0.3">
      <c r="A750" s="6" t="s">
        <v>9</v>
      </c>
      <c r="B750" s="6" t="s">
        <v>37</v>
      </c>
      <c r="C750" s="6">
        <v>2016</v>
      </c>
      <c r="D750" s="6" t="s">
        <v>0</v>
      </c>
      <c r="E750" s="6" t="s">
        <v>5</v>
      </c>
      <c r="F750" s="7">
        <v>21</v>
      </c>
    </row>
    <row r="751" spans="1:6" ht="28" x14ac:dyDescent="0.3">
      <c r="A751" s="6" t="s">
        <v>9</v>
      </c>
      <c r="B751" s="6" t="s">
        <v>38</v>
      </c>
      <c r="C751" s="6">
        <v>2016</v>
      </c>
      <c r="D751" s="6" t="s">
        <v>0</v>
      </c>
      <c r="E751" s="6" t="s">
        <v>5</v>
      </c>
      <c r="F751" s="7">
        <v>2368</v>
      </c>
    </row>
    <row r="752" spans="1:6" ht="28" x14ac:dyDescent="0.3">
      <c r="A752" s="6" t="s">
        <v>9</v>
      </c>
      <c r="B752" s="6" t="s">
        <v>39</v>
      </c>
      <c r="C752" s="6">
        <v>2016</v>
      </c>
      <c r="D752" s="6" t="s">
        <v>0</v>
      </c>
      <c r="E752" s="6" t="s">
        <v>5</v>
      </c>
      <c r="F752" s="7">
        <v>81</v>
      </c>
    </row>
    <row r="753" spans="1:6" ht="28" x14ac:dyDescent="0.3">
      <c r="A753" s="6" t="s">
        <v>9</v>
      </c>
      <c r="B753" s="6" t="s">
        <v>40</v>
      </c>
      <c r="C753" s="6">
        <v>2016</v>
      </c>
      <c r="D753" s="6" t="s">
        <v>0</v>
      </c>
      <c r="E753" s="6" t="s">
        <v>5</v>
      </c>
      <c r="F753" s="7">
        <v>132</v>
      </c>
    </row>
    <row r="754" spans="1:6" ht="28" x14ac:dyDescent="0.3">
      <c r="A754" s="6" t="s">
        <v>9</v>
      </c>
      <c r="B754" s="6" t="s">
        <v>41</v>
      </c>
      <c r="C754" s="6">
        <v>2016</v>
      </c>
      <c r="D754" s="6" t="s">
        <v>0</v>
      </c>
      <c r="E754" s="6" t="s">
        <v>5</v>
      </c>
      <c r="F754" s="7">
        <v>2940</v>
      </c>
    </row>
    <row r="755" spans="1:6" ht="28" x14ac:dyDescent="0.3">
      <c r="A755" s="6" t="s">
        <v>9</v>
      </c>
      <c r="B755" s="6" t="s">
        <v>42</v>
      </c>
      <c r="C755" s="6">
        <v>2016</v>
      </c>
      <c r="D755" s="6" t="s">
        <v>0</v>
      </c>
      <c r="E755" s="6" t="s">
        <v>5</v>
      </c>
      <c r="F755" s="7">
        <v>6053</v>
      </c>
    </row>
    <row r="756" spans="1:6" ht="28" x14ac:dyDescent="0.3">
      <c r="A756" s="6" t="s">
        <v>9</v>
      </c>
      <c r="B756" s="6" t="s">
        <v>43</v>
      </c>
      <c r="C756" s="6">
        <v>2016</v>
      </c>
      <c r="D756" s="6" t="s">
        <v>0</v>
      </c>
      <c r="E756" s="6" t="s">
        <v>5</v>
      </c>
      <c r="F756" s="7">
        <v>2871</v>
      </c>
    </row>
    <row r="757" spans="1:6" ht="28" x14ac:dyDescent="0.3">
      <c r="A757" s="6" t="s">
        <v>9</v>
      </c>
      <c r="B757" s="6" t="s">
        <v>44</v>
      </c>
      <c r="C757" s="6">
        <v>2016</v>
      </c>
      <c r="D757" s="6" t="s">
        <v>0</v>
      </c>
      <c r="E757" s="6" t="s">
        <v>5</v>
      </c>
      <c r="F757" s="7">
        <v>775</v>
      </c>
    </row>
    <row r="758" spans="1:6" ht="28" x14ac:dyDescent="0.3">
      <c r="A758" s="6" t="s">
        <v>9</v>
      </c>
      <c r="B758" s="6" t="s">
        <v>27</v>
      </c>
      <c r="C758" s="6">
        <v>2016</v>
      </c>
      <c r="D758" s="6" t="s">
        <v>0</v>
      </c>
      <c r="E758" s="6" t="s">
        <v>5</v>
      </c>
      <c r="F758" s="7">
        <v>311</v>
      </c>
    </row>
    <row r="759" spans="1:6" ht="28" x14ac:dyDescent="0.3">
      <c r="A759" s="6" t="s">
        <v>9</v>
      </c>
      <c r="B759" s="6" t="s">
        <v>45</v>
      </c>
      <c r="C759" s="6">
        <v>2016</v>
      </c>
      <c r="D759" s="6" t="s">
        <v>0</v>
      </c>
      <c r="E759" s="6" t="s">
        <v>5</v>
      </c>
      <c r="F759" s="7">
        <v>20</v>
      </c>
    </row>
    <row r="760" spans="1:6" ht="28" x14ac:dyDescent="0.3">
      <c r="A760" s="6" t="s">
        <v>9</v>
      </c>
      <c r="B760" s="6" t="s">
        <v>46</v>
      </c>
      <c r="C760" s="6">
        <v>2016</v>
      </c>
      <c r="D760" s="6" t="s">
        <v>0</v>
      </c>
      <c r="E760" s="6" t="s">
        <v>5</v>
      </c>
      <c r="F760" s="7">
        <v>1510</v>
      </c>
    </row>
    <row r="761" spans="1:6" ht="28" x14ac:dyDescent="0.3">
      <c r="A761" s="6" t="s">
        <v>9</v>
      </c>
      <c r="B761" s="6" t="s">
        <v>47</v>
      </c>
      <c r="C761" s="6">
        <v>2016</v>
      </c>
      <c r="D761" s="6" t="s">
        <v>0</v>
      </c>
      <c r="E761" s="6" t="s">
        <v>5</v>
      </c>
      <c r="F761" s="7">
        <v>490</v>
      </c>
    </row>
    <row r="762" spans="1:6" ht="28" x14ac:dyDescent="0.3">
      <c r="A762" s="6" t="s">
        <v>9</v>
      </c>
      <c r="B762" s="6" t="s">
        <v>48</v>
      </c>
      <c r="C762" s="6">
        <v>2016</v>
      </c>
      <c r="D762" s="6" t="s">
        <v>0</v>
      </c>
      <c r="E762" s="6" t="s">
        <v>5</v>
      </c>
      <c r="F762" s="7">
        <v>1540</v>
      </c>
    </row>
    <row r="763" spans="1:6" ht="28" x14ac:dyDescent="0.3">
      <c r="A763" s="6" t="s">
        <v>9</v>
      </c>
      <c r="B763" s="6" t="s">
        <v>49</v>
      </c>
      <c r="C763" s="6">
        <v>2016</v>
      </c>
      <c r="D763" s="6" t="s">
        <v>0</v>
      </c>
      <c r="E763" s="6" t="s">
        <v>5</v>
      </c>
      <c r="F763" s="7">
        <v>2606</v>
      </c>
    </row>
    <row r="764" spans="1:6" ht="28" x14ac:dyDescent="0.3">
      <c r="A764" s="6" t="s">
        <v>9</v>
      </c>
      <c r="B764" s="6" t="s">
        <v>50</v>
      </c>
      <c r="C764" s="6">
        <v>2016</v>
      </c>
      <c r="D764" s="6" t="s">
        <v>0</v>
      </c>
      <c r="E764" s="6" t="s">
        <v>5</v>
      </c>
      <c r="F764" s="7">
        <v>1553</v>
      </c>
    </row>
    <row r="765" spans="1:6" ht="28" x14ac:dyDescent="0.3">
      <c r="A765" s="6" t="s">
        <v>9</v>
      </c>
      <c r="B765" s="6" t="s">
        <v>51</v>
      </c>
      <c r="C765" s="6">
        <v>2016</v>
      </c>
      <c r="D765" s="6" t="s">
        <v>0</v>
      </c>
      <c r="E765" s="6" t="s">
        <v>5</v>
      </c>
      <c r="F765" s="7">
        <v>5327</v>
      </c>
    </row>
    <row r="766" spans="1:6" ht="28" x14ac:dyDescent="0.3">
      <c r="A766" s="6" t="s">
        <v>9</v>
      </c>
      <c r="B766" s="6" t="s">
        <v>52</v>
      </c>
      <c r="C766" s="6">
        <v>2016</v>
      </c>
      <c r="D766" s="6" t="s">
        <v>0</v>
      </c>
      <c r="E766" s="6" t="s">
        <v>5</v>
      </c>
      <c r="F766" s="7">
        <v>6284</v>
      </c>
    </row>
    <row r="767" spans="1:6" ht="28" x14ac:dyDescent="0.3">
      <c r="A767" s="6" t="s">
        <v>9</v>
      </c>
      <c r="B767" s="6" t="s">
        <v>53</v>
      </c>
      <c r="C767" s="6">
        <v>2016</v>
      </c>
      <c r="D767" s="6" t="s">
        <v>0</v>
      </c>
      <c r="E767" s="6" t="s">
        <v>5</v>
      </c>
      <c r="F767" s="7">
        <v>6310</v>
      </c>
    </row>
    <row r="768" spans="1:6" ht="28" x14ac:dyDescent="0.3">
      <c r="A768" s="6" t="s">
        <v>9</v>
      </c>
      <c r="B768" s="6" t="s">
        <v>54</v>
      </c>
      <c r="C768" s="6">
        <v>2016</v>
      </c>
      <c r="D768" s="6" t="s">
        <v>0</v>
      </c>
      <c r="E768" s="6" t="s">
        <v>5</v>
      </c>
      <c r="F768" s="7">
        <v>960</v>
      </c>
    </row>
    <row r="769" spans="1:6" ht="28" x14ac:dyDescent="0.3">
      <c r="A769" s="6" t="s">
        <v>9</v>
      </c>
      <c r="B769" s="6" t="s">
        <v>28</v>
      </c>
      <c r="C769" s="6">
        <v>2016</v>
      </c>
      <c r="D769" s="6" t="s">
        <v>0</v>
      </c>
      <c r="E769" s="6" t="s">
        <v>5</v>
      </c>
      <c r="F769" s="7">
        <v>1762</v>
      </c>
    </row>
    <row r="770" spans="1:6" ht="28" x14ac:dyDescent="0.3">
      <c r="A770" s="6" t="s">
        <v>9</v>
      </c>
      <c r="B770" s="6" t="s">
        <v>55</v>
      </c>
      <c r="C770" s="6">
        <v>2016</v>
      </c>
      <c r="D770" s="6" t="s">
        <v>0</v>
      </c>
      <c r="E770" s="6" t="s">
        <v>5</v>
      </c>
      <c r="F770" s="7">
        <v>2932</v>
      </c>
    </row>
    <row r="771" spans="1:6" ht="28" x14ac:dyDescent="0.3">
      <c r="A771" s="6" t="s">
        <v>9</v>
      </c>
      <c r="B771" s="6" t="s">
        <v>56</v>
      </c>
      <c r="C771" s="6">
        <v>2016</v>
      </c>
      <c r="D771" s="6" t="s">
        <v>0</v>
      </c>
      <c r="E771" s="6" t="s">
        <v>5</v>
      </c>
      <c r="F771" s="7">
        <v>5872</v>
      </c>
    </row>
    <row r="772" spans="1:6" ht="28" x14ac:dyDescent="0.3">
      <c r="A772" s="6" t="s">
        <v>9</v>
      </c>
      <c r="B772" s="6" t="s">
        <v>57</v>
      </c>
      <c r="C772" s="6">
        <v>2016</v>
      </c>
      <c r="D772" s="6" t="s">
        <v>0</v>
      </c>
      <c r="E772" s="6" t="s">
        <v>5</v>
      </c>
      <c r="F772" s="7">
        <v>2791</v>
      </c>
    </row>
    <row r="773" spans="1:6" ht="28" x14ac:dyDescent="0.3">
      <c r="A773" s="6" t="s">
        <v>9</v>
      </c>
      <c r="B773" s="6" t="s">
        <v>58</v>
      </c>
      <c r="C773" s="6">
        <v>2016</v>
      </c>
      <c r="D773" s="6" t="s">
        <v>0</v>
      </c>
      <c r="E773" s="6" t="s">
        <v>5</v>
      </c>
      <c r="F773" s="7">
        <v>6771</v>
      </c>
    </row>
    <row r="774" spans="1:6" ht="28" x14ac:dyDescent="0.3">
      <c r="A774" s="6" t="s">
        <v>9</v>
      </c>
      <c r="B774" s="6" t="s">
        <v>29</v>
      </c>
      <c r="C774" s="6">
        <v>2016</v>
      </c>
      <c r="D774" s="6" t="s">
        <v>0</v>
      </c>
      <c r="E774" s="6" t="s">
        <v>5</v>
      </c>
      <c r="F774" s="7">
        <v>27</v>
      </c>
    </row>
    <row r="775" spans="1:6" ht="28" x14ac:dyDescent="0.3">
      <c r="A775" s="6" t="s">
        <v>9</v>
      </c>
      <c r="B775" s="6" t="s">
        <v>30</v>
      </c>
      <c r="C775" s="6">
        <v>2016</v>
      </c>
      <c r="D775" s="6" t="s">
        <v>0</v>
      </c>
      <c r="E775" s="6" t="s">
        <v>5</v>
      </c>
      <c r="F775" s="7">
        <v>154</v>
      </c>
    </row>
    <row r="776" spans="1:6" ht="28" x14ac:dyDescent="0.3">
      <c r="A776" s="6" t="s">
        <v>9</v>
      </c>
      <c r="B776" s="6" t="s">
        <v>31</v>
      </c>
      <c r="C776" s="6">
        <v>2016</v>
      </c>
      <c r="D776" s="6" t="s">
        <v>0</v>
      </c>
      <c r="E776" s="6" t="s">
        <v>5</v>
      </c>
      <c r="F776" s="7">
        <v>2660</v>
      </c>
    </row>
    <row r="777" spans="1:6" ht="28" x14ac:dyDescent="0.3">
      <c r="A777" s="6" t="s">
        <v>9</v>
      </c>
      <c r="B777" s="6" t="s">
        <v>32</v>
      </c>
      <c r="C777" s="6">
        <v>2016</v>
      </c>
      <c r="D777" s="6" t="s">
        <v>0</v>
      </c>
      <c r="E777" s="6" t="s">
        <v>5</v>
      </c>
      <c r="F777" s="7">
        <v>62</v>
      </c>
    </row>
    <row r="778" spans="1:6" ht="28" x14ac:dyDescent="0.3">
      <c r="A778" s="6" t="s">
        <v>9</v>
      </c>
      <c r="B778" s="6" t="s">
        <v>33</v>
      </c>
      <c r="C778" s="6">
        <v>2016</v>
      </c>
      <c r="D778" s="6" t="s">
        <v>0</v>
      </c>
      <c r="E778" s="6" t="s">
        <v>5</v>
      </c>
      <c r="F778" s="7">
        <v>198</v>
      </c>
    </row>
    <row r="779" spans="1:6" ht="28" x14ac:dyDescent="0.3">
      <c r="A779" s="6" t="s">
        <v>9</v>
      </c>
      <c r="B779" s="6" t="s">
        <v>34</v>
      </c>
      <c r="C779" s="6">
        <v>2016</v>
      </c>
      <c r="D779" s="6" t="s">
        <v>0</v>
      </c>
      <c r="E779" s="6" t="s">
        <v>5</v>
      </c>
      <c r="F779" s="7">
        <v>428</v>
      </c>
    </row>
    <row r="780" spans="1:6" ht="28" x14ac:dyDescent="0.3">
      <c r="A780" s="6" t="s">
        <v>10</v>
      </c>
      <c r="B780" s="6" t="s">
        <v>59</v>
      </c>
      <c r="C780" s="6">
        <v>2016</v>
      </c>
      <c r="D780" s="6" t="s">
        <v>0</v>
      </c>
      <c r="E780" s="6" t="s">
        <v>5</v>
      </c>
      <c r="F780" s="7">
        <v>1862</v>
      </c>
    </row>
    <row r="781" spans="1:6" ht="28" x14ac:dyDescent="0.3">
      <c r="A781" s="6" t="s">
        <v>10</v>
      </c>
      <c r="B781" s="6" t="s">
        <v>60</v>
      </c>
      <c r="C781" s="6">
        <v>2016</v>
      </c>
      <c r="D781" s="6" t="s">
        <v>0</v>
      </c>
      <c r="E781" s="6" t="s">
        <v>5</v>
      </c>
      <c r="F781" s="7">
        <v>125</v>
      </c>
    </row>
    <row r="782" spans="1:6" ht="28" x14ac:dyDescent="0.3">
      <c r="A782" s="6" t="s">
        <v>10</v>
      </c>
      <c r="B782" s="6" t="s">
        <v>61</v>
      </c>
      <c r="C782" s="6">
        <v>2016</v>
      </c>
      <c r="D782" s="6" t="s">
        <v>0</v>
      </c>
      <c r="E782" s="6" t="s">
        <v>5</v>
      </c>
      <c r="F782" s="7">
        <v>81</v>
      </c>
    </row>
    <row r="783" spans="1:6" ht="28" x14ac:dyDescent="0.3">
      <c r="A783" s="6" t="s">
        <v>10</v>
      </c>
      <c r="B783" s="6" t="s">
        <v>62</v>
      </c>
      <c r="C783" s="6">
        <v>2016</v>
      </c>
      <c r="D783" s="6" t="s">
        <v>0</v>
      </c>
      <c r="E783" s="6" t="s">
        <v>5</v>
      </c>
      <c r="F783" s="7">
        <v>29</v>
      </c>
    </row>
    <row r="784" spans="1:6" ht="28" x14ac:dyDescent="0.3">
      <c r="A784" s="6" t="s">
        <v>10</v>
      </c>
      <c r="B784" s="6" t="s">
        <v>63</v>
      </c>
      <c r="C784" s="6">
        <v>2016</v>
      </c>
      <c r="D784" s="6" t="s">
        <v>0</v>
      </c>
      <c r="E784" s="6" t="s">
        <v>5</v>
      </c>
      <c r="F784" s="7">
        <v>306</v>
      </c>
    </row>
    <row r="785" spans="1:6" ht="28" x14ac:dyDescent="0.3">
      <c r="A785" s="6" t="s">
        <v>10</v>
      </c>
      <c r="B785" s="6" t="s">
        <v>64</v>
      </c>
      <c r="C785" s="6">
        <v>2016</v>
      </c>
      <c r="D785" s="6" t="s">
        <v>0</v>
      </c>
      <c r="E785" s="6" t="s">
        <v>5</v>
      </c>
      <c r="F785" s="7">
        <v>33</v>
      </c>
    </row>
    <row r="786" spans="1:6" ht="28" x14ac:dyDescent="0.3">
      <c r="A786" s="6" t="s">
        <v>10</v>
      </c>
      <c r="B786" s="6" t="s">
        <v>65</v>
      </c>
      <c r="C786" s="6">
        <v>2016</v>
      </c>
      <c r="D786" s="6" t="s">
        <v>0</v>
      </c>
      <c r="E786" s="6" t="s">
        <v>5</v>
      </c>
      <c r="F786" s="7">
        <v>4703</v>
      </c>
    </row>
    <row r="787" spans="1:6" ht="28" x14ac:dyDescent="0.3">
      <c r="A787" s="6" t="s">
        <v>10</v>
      </c>
      <c r="B787" s="6" t="s">
        <v>66</v>
      </c>
      <c r="C787" s="6">
        <v>2016</v>
      </c>
      <c r="D787" s="6" t="s">
        <v>0</v>
      </c>
      <c r="E787" s="6" t="s">
        <v>5</v>
      </c>
      <c r="F787" s="7">
        <v>131</v>
      </c>
    </row>
    <row r="788" spans="1:6" ht="28" x14ac:dyDescent="0.3">
      <c r="A788" s="6" t="s">
        <v>11</v>
      </c>
      <c r="B788" s="6" t="s">
        <v>67</v>
      </c>
      <c r="C788" s="6">
        <v>2016</v>
      </c>
      <c r="D788" s="6" t="s">
        <v>0</v>
      </c>
      <c r="E788" s="6" t="s">
        <v>5</v>
      </c>
      <c r="F788" s="7">
        <v>77</v>
      </c>
    </row>
    <row r="789" spans="1:6" ht="28" x14ac:dyDescent="0.3">
      <c r="A789" s="6" t="s">
        <v>11</v>
      </c>
      <c r="B789" s="6" t="s">
        <v>76</v>
      </c>
      <c r="C789" s="6">
        <v>2016</v>
      </c>
      <c r="D789" s="6" t="s">
        <v>0</v>
      </c>
      <c r="E789" s="6" t="s">
        <v>5</v>
      </c>
      <c r="F789" s="7">
        <v>409</v>
      </c>
    </row>
    <row r="790" spans="1:6" ht="28" x14ac:dyDescent="0.3">
      <c r="A790" s="6" t="s">
        <v>11</v>
      </c>
      <c r="B790" s="6" t="s">
        <v>77</v>
      </c>
      <c r="C790" s="6">
        <v>2016</v>
      </c>
      <c r="D790" s="6" t="s">
        <v>0</v>
      </c>
      <c r="E790" s="6" t="s">
        <v>5</v>
      </c>
      <c r="F790" s="7">
        <v>282</v>
      </c>
    </row>
    <row r="791" spans="1:6" ht="28" x14ac:dyDescent="0.3">
      <c r="A791" s="6" t="s">
        <v>11</v>
      </c>
      <c r="B791" s="6" t="s">
        <v>78</v>
      </c>
      <c r="C791" s="6">
        <v>2016</v>
      </c>
      <c r="D791" s="6" t="s">
        <v>0</v>
      </c>
      <c r="E791" s="6" t="s">
        <v>5</v>
      </c>
      <c r="F791" s="7">
        <v>173</v>
      </c>
    </row>
    <row r="792" spans="1:6" ht="28" x14ac:dyDescent="0.3">
      <c r="A792" s="6" t="s">
        <v>11</v>
      </c>
      <c r="B792" s="6" t="s">
        <v>79</v>
      </c>
      <c r="C792" s="6">
        <v>2016</v>
      </c>
      <c r="D792" s="6" t="s">
        <v>0</v>
      </c>
      <c r="E792" s="6" t="s">
        <v>5</v>
      </c>
      <c r="F792" s="7">
        <v>37</v>
      </c>
    </row>
    <row r="793" spans="1:6" ht="28" x14ac:dyDescent="0.3">
      <c r="A793" s="6" t="s">
        <v>11</v>
      </c>
      <c r="B793" s="6" t="s">
        <v>80</v>
      </c>
      <c r="C793" s="6">
        <v>2016</v>
      </c>
      <c r="D793" s="6" t="s">
        <v>0</v>
      </c>
      <c r="E793" s="6" t="s">
        <v>5</v>
      </c>
      <c r="F793" s="7">
        <v>113</v>
      </c>
    </row>
    <row r="794" spans="1:6" ht="28" x14ac:dyDescent="0.3">
      <c r="A794" s="6" t="s">
        <v>11</v>
      </c>
      <c r="B794" s="6" t="s">
        <v>68</v>
      </c>
      <c r="C794" s="6">
        <v>2016</v>
      </c>
      <c r="D794" s="6" t="s">
        <v>0</v>
      </c>
      <c r="E794" s="6" t="s">
        <v>5</v>
      </c>
      <c r="F794" s="7">
        <v>317</v>
      </c>
    </row>
    <row r="795" spans="1:6" ht="28" x14ac:dyDescent="0.3">
      <c r="A795" s="6" t="s">
        <v>11</v>
      </c>
      <c r="B795" s="6" t="s">
        <v>69</v>
      </c>
      <c r="C795" s="6">
        <v>2016</v>
      </c>
      <c r="D795" s="6" t="s">
        <v>0</v>
      </c>
      <c r="E795" s="6" t="s">
        <v>5</v>
      </c>
      <c r="F795" s="7">
        <v>6376</v>
      </c>
    </row>
    <row r="796" spans="1:6" ht="28" x14ac:dyDescent="0.3">
      <c r="A796" s="6" t="s">
        <v>11</v>
      </c>
      <c r="B796" s="6" t="s">
        <v>70</v>
      </c>
      <c r="C796" s="6">
        <v>2016</v>
      </c>
      <c r="D796" s="6" t="s">
        <v>0</v>
      </c>
      <c r="E796" s="6" t="s">
        <v>5</v>
      </c>
      <c r="F796" s="7">
        <v>482</v>
      </c>
    </row>
    <row r="797" spans="1:6" ht="28" x14ac:dyDescent="0.3">
      <c r="A797" s="6" t="s">
        <v>11</v>
      </c>
      <c r="B797" s="6" t="s">
        <v>71</v>
      </c>
      <c r="C797" s="6">
        <v>2016</v>
      </c>
      <c r="D797" s="6" t="s">
        <v>0</v>
      </c>
      <c r="E797" s="6" t="s">
        <v>5</v>
      </c>
      <c r="F797" s="7">
        <v>21</v>
      </c>
    </row>
    <row r="798" spans="1:6" ht="28" x14ac:dyDescent="0.3">
      <c r="A798" s="6" t="s">
        <v>11</v>
      </c>
      <c r="B798" s="6" t="s">
        <v>72</v>
      </c>
      <c r="C798" s="6">
        <v>2016</v>
      </c>
      <c r="D798" s="6" t="s">
        <v>0</v>
      </c>
      <c r="E798" s="6" t="s">
        <v>5</v>
      </c>
      <c r="F798" s="7">
        <v>681</v>
      </c>
    </row>
    <row r="799" spans="1:6" ht="28" x14ac:dyDescent="0.3">
      <c r="A799" s="6" t="s">
        <v>11</v>
      </c>
      <c r="B799" s="6" t="s">
        <v>73</v>
      </c>
      <c r="C799" s="6">
        <v>2016</v>
      </c>
      <c r="D799" s="6" t="s">
        <v>0</v>
      </c>
      <c r="E799" s="6" t="s">
        <v>5</v>
      </c>
      <c r="F799" s="7">
        <v>184</v>
      </c>
    </row>
    <row r="800" spans="1:6" ht="28" x14ac:dyDescent="0.3">
      <c r="A800" s="6" t="s">
        <v>11</v>
      </c>
      <c r="B800" s="6" t="s">
        <v>74</v>
      </c>
      <c r="C800" s="6">
        <v>2016</v>
      </c>
      <c r="D800" s="6" t="s">
        <v>0</v>
      </c>
      <c r="E800" s="6" t="s">
        <v>5</v>
      </c>
      <c r="F800" s="7">
        <v>61</v>
      </c>
    </row>
    <row r="801" spans="1:6" ht="28" x14ac:dyDescent="0.3">
      <c r="A801" s="6" t="s">
        <v>11</v>
      </c>
      <c r="B801" s="6" t="s">
        <v>75</v>
      </c>
      <c r="C801" s="6">
        <v>2016</v>
      </c>
      <c r="D801" s="6" t="s">
        <v>0</v>
      </c>
      <c r="E801" s="6" t="s">
        <v>5</v>
      </c>
      <c r="F801" s="7">
        <v>6067</v>
      </c>
    </row>
    <row r="802" spans="1:6" ht="28" x14ac:dyDescent="0.3">
      <c r="A802" s="6" t="s">
        <v>12</v>
      </c>
      <c r="B802" s="6" t="s">
        <v>81</v>
      </c>
      <c r="C802" s="6">
        <v>2016</v>
      </c>
      <c r="D802" s="6" t="s">
        <v>0</v>
      </c>
      <c r="E802" s="6" t="s">
        <v>5</v>
      </c>
      <c r="F802" s="7">
        <v>99</v>
      </c>
    </row>
    <row r="803" spans="1:6" ht="28" x14ac:dyDescent="0.3">
      <c r="A803" s="6" t="s">
        <v>12</v>
      </c>
      <c r="B803" s="6" t="s">
        <v>82</v>
      </c>
      <c r="C803" s="6">
        <v>2016</v>
      </c>
      <c r="D803" s="6" t="s">
        <v>0</v>
      </c>
      <c r="E803" s="6" t="s">
        <v>5</v>
      </c>
      <c r="F803" s="7">
        <v>288</v>
      </c>
    </row>
    <row r="804" spans="1:6" ht="28" x14ac:dyDescent="0.3">
      <c r="A804" s="6" t="s">
        <v>12</v>
      </c>
      <c r="B804" s="6" t="s">
        <v>83</v>
      </c>
      <c r="C804" s="6">
        <v>2016</v>
      </c>
      <c r="D804" s="6" t="s">
        <v>0</v>
      </c>
      <c r="E804" s="6" t="s">
        <v>5</v>
      </c>
      <c r="F804" s="7">
        <v>224</v>
      </c>
    </row>
    <row r="805" spans="1:6" ht="28" x14ac:dyDescent="0.3">
      <c r="A805" s="6" t="s">
        <v>12</v>
      </c>
      <c r="B805" s="6" t="s">
        <v>84</v>
      </c>
      <c r="C805" s="6">
        <v>2016</v>
      </c>
      <c r="D805" s="6" t="s">
        <v>0</v>
      </c>
      <c r="E805" s="6" t="s">
        <v>5</v>
      </c>
      <c r="F805" s="7">
        <v>123</v>
      </c>
    </row>
    <row r="806" spans="1:6" ht="28" x14ac:dyDescent="0.3">
      <c r="A806" s="6" t="s">
        <v>12</v>
      </c>
      <c r="B806" s="6" t="s">
        <v>85</v>
      </c>
      <c r="C806" s="6">
        <v>2016</v>
      </c>
      <c r="D806" s="6" t="s">
        <v>0</v>
      </c>
      <c r="E806" s="6" t="s">
        <v>5</v>
      </c>
      <c r="F806" s="7">
        <v>1457</v>
      </c>
    </row>
    <row r="807" spans="1:6" ht="28" x14ac:dyDescent="0.3">
      <c r="A807" s="6" t="s">
        <v>12</v>
      </c>
      <c r="B807" s="6" t="s">
        <v>86</v>
      </c>
      <c r="C807" s="6">
        <v>2016</v>
      </c>
      <c r="D807" s="6" t="s">
        <v>0</v>
      </c>
      <c r="E807" s="6" t="s">
        <v>5</v>
      </c>
      <c r="F807" s="7">
        <v>51</v>
      </c>
    </row>
    <row r="808" spans="1:6" ht="28" x14ac:dyDescent="0.3">
      <c r="A808" s="6" t="s">
        <v>12</v>
      </c>
      <c r="B808" s="6" t="s">
        <v>87</v>
      </c>
      <c r="C808" s="6">
        <v>2016</v>
      </c>
      <c r="D808" s="6" t="s">
        <v>0</v>
      </c>
      <c r="E808" s="6" t="s">
        <v>5</v>
      </c>
      <c r="F808" s="7">
        <v>193</v>
      </c>
    </row>
    <row r="809" spans="1:6" ht="28" x14ac:dyDescent="0.3">
      <c r="A809" s="6" t="s">
        <v>12</v>
      </c>
      <c r="B809" s="6" t="s">
        <v>88</v>
      </c>
      <c r="C809" s="6">
        <v>2016</v>
      </c>
      <c r="D809" s="6" t="s">
        <v>0</v>
      </c>
      <c r="E809" s="6" t="s">
        <v>5</v>
      </c>
      <c r="F809" s="7">
        <v>747</v>
      </c>
    </row>
    <row r="810" spans="1:6" ht="28" x14ac:dyDescent="0.3">
      <c r="A810" s="6" t="s">
        <v>13</v>
      </c>
      <c r="B810" s="6" t="s">
        <v>89</v>
      </c>
      <c r="C810" s="6">
        <v>2016</v>
      </c>
      <c r="D810" s="6" t="s">
        <v>0</v>
      </c>
      <c r="E810" s="6" t="s">
        <v>5</v>
      </c>
      <c r="F810" s="7">
        <v>15</v>
      </c>
    </row>
    <row r="811" spans="1:6" ht="28" x14ac:dyDescent="0.3">
      <c r="A811" s="6" t="s">
        <v>13</v>
      </c>
      <c r="B811" s="6" t="s">
        <v>98</v>
      </c>
      <c r="C811" s="6">
        <v>2016</v>
      </c>
      <c r="D811" s="6" t="s">
        <v>0</v>
      </c>
      <c r="E811" s="6" t="s">
        <v>5</v>
      </c>
      <c r="F811" s="7">
        <v>30</v>
      </c>
    </row>
    <row r="812" spans="1:6" ht="28" x14ac:dyDescent="0.3">
      <c r="A812" s="6" t="s">
        <v>13</v>
      </c>
      <c r="B812" s="6" t="s">
        <v>99</v>
      </c>
      <c r="C812" s="6">
        <v>2016</v>
      </c>
      <c r="D812" s="6" t="s">
        <v>0</v>
      </c>
      <c r="E812" s="6" t="s">
        <v>5</v>
      </c>
      <c r="F812" s="7">
        <v>86</v>
      </c>
    </row>
    <row r="813" spans="1:6" ht="28" x14ac:dyDescent="0.3">
      <c r="A813" s="6" t="s">
        <v>13</v>
      </c>
      <c r="B813" s="6" t="s">
        <v>90</v>
      </c>
      <c r="C813" s="6">
        <v>2016</v>
      </c>
      <c r="D813" s="6" t="s">
        <v>0</v>
      </c>
      <c r="E813" s="6" t="s">
        <v>5</v>
      </c>
      <c r="F813" s="7">
        <v>354</v>
      </c>
    </row>
    <row r="814" spans="1:6" ht="28" x14ac:dyDescent="0.3">
      <c r="A814" s="6" t="s">
        <v>13</v>
      </c>
      <c r="B814" s="6" t="s">
        <v>91</v>
      </c>
      <c r="C814" s="6">
        <v>2016</v>
      </c>
      <c r="D814" s="6" t="s">
        <v>0</v>
      </c>
      <c r="E814" s="6" t="s">
        <v>5</v>
      </c>
      <c r="F814" s="7">
        <v>109</v>
      </c>
    </row>
    <row r="815" spans="1:6" ht="28" x14ac:dyDescent="0.3">
      <c r="A815" s="6" t="s">
        <v>13</v>
      </c>
      <c r="B815" s="6" t="s">
        <v>92</v>
      </c>
      <c r="C815" s="6">
        <v>2016</v>
      </c>
      <c r="D815" s="6" t="s">
        <v>0</v>
      </c>
      <c r="E815" s="6" t="s">
        <v>5</v>
      </c>
      <c r="F815" s="7">
        <v>60</v>
      </c>
    </row>
    <row r="816" spans="1:6" ht="28" x14ac:dyDescent="0.3">
      <c r="A816" s="6" t="s">
        <v>13</v>
      </c>
      <c r="B816" s="6" t="s">
        <v>93</v>
      </c>
      <c r="C816" s="6">
        <v>2016</v>
      </c>
      <c r="D816" s="6" t="s">
        <v>0</v>
      </c>
      <c r="E816" s="6" t="s">
        <v>5</v>
      </c>
      <c r="F816" s="7">
        <v>25</v>
      </c>
    </row>
    <row r="817" spans="1:6" ht="28" x14ac:dyDescent="0.3">
      <c r="A817" s="6" t="s">
        <v>13</v>
      </c>
      <c r="B817" s="6" t="s">
        <v>94</v>
      </c>
      <c r="C817" s="6">
        <v>2016</v>
      </c>
      <c r="D817" s="6" t="s">
        <v>0</v>
      </c>
      <c r="E817" s="6" t="s">
        <v>5</v>
      </c>
      <c r="F817" s="7">
        <v>9</v>
      </c>
    </row>
    <row r="818" spans="1:6" ht="28" x14ac:dyDescent="0.3">
      <c r="A818" s="6" t="s">
        <v>13</v>
      </c>
      <c r="B818" s="6" t="s">
        <v>95</v>
      </c>
      <c r="C818" s="6">
        <v>2016</v>
      </c>
      <c r="D818" s="6" t="s">
        <v>0</v>
      </c>
      <c r="E818" s="6" t="s">
        <v>5</v>
      </c>
      <c r="F818" s="7">
        <v>43</v>
      </c>
    </row>
    <row r="819" spans="1:6" ht="28" x14ac:dyDescent="0.3">
      <c r="A819" s="6" t="s">
        <v>13</v>
      </c>
      <c r="B819" s="6" t="s">
        <v>96</v>
      </c>
      <c r="C819" s="6">
        <v>2016</v>
      </c>
      <c r="D819" s="6" t="s">
        <v>0</v>
      </c>
      <c r="E819" s="6" t="s">
        <v>5</v>
      </c>
      <c r="F819" s="7">
        <v>270</v>
      </c>
    </row>
    <row r="820" spans="1:6" ht="28" x14ac:dyDescent="0.3">
      <c r="A820" s="6" t="s">
        <v>13</v>
      </c>
      <c r="B820" s="6" t="s">
        <v>97</v>
      </c>
      <c r="C820" s="6">
        <v>2016</v>
      </c>
      <c r="D820" s="6" t="s">
        <v>0</v>
      </c>
      <c r="E820" s="6" t="s">
        <v>5</v>
      </c>
      <c r="F820" s="7">
        <v>156</v>
      </c>
    </row>
    <row r="821" spans="1:6" ht="28" x14ac:dyDescent="0.3">
      <c r="A821" s="6" t="s">
        <v>14</v>
      </c>
      <c r="B821" s="6" t="s">
        <v>100</v>
      </c>
      <c r="C821" s="6">
        <v>2016</v>
      </c>
      <c r="D821" s="6" t="s">
        <v>0</v>
      </c>
      <c r="E821" s="6" t="s">
        <v>5</v>
      </c>
      <c r="F821" s="7">
        <v>438</v>
      </c>
    </row>
    <row r="822" spans="1:6" ht="28" x14ac:dyDescent="0.3">
      <c r="A822" s="6" t="s">
        <v>14</v>
      </c>
      <c r="B822" s="6" t="s">
        <v>101</v>
      </c>
      <c r="C822" s="6">
        <v>2016</v>
      </c>
      <c r="D822" s="6" t="s">
        <v>0</v>
      </c>
      <c r="E822" s="6" t="s">
        <v>5</v>
      </c>
      <c r="F822" s="7">
        <v>53</v>
      </c>
    </row>
    <row r="823" spans="1:6" ht="28" x14ac:dyDescent="0.3">
      <c r="A823" s="6" t="s">
        <v>14</v>
      </c>
      <c r="B823" s="6" t="s">
        <v>102</v>
      </c>
      <c r="C823" s="6">
        <v>2016</v>
      </c>
      <c r="D823" s="6" t="s">
        <v>0</v>
      </c>
      <c r="E823" s="6" t="s">
        <v>5</v>
      </c>
      <c r="F823" s="7">
        <v>1312</v>
      </c>
    </row>
    <row r="824" spans="1:6" ht="28" x14ac:dyDescent="0.3">
      <c r="A824" s="6" t="s">
        <v>14</v>
      </c>
      <c r="B824" s="6" t="s">
        <v>103</v>
      </c>
      <c r="C824" s="6">
        <v>2016</v>
      </c>
      <c r="D824" s="6" t="s">
        <v>0</v>
      </c>
      <c r="E824" s="6" t="s">
        <v>5</v>
      </c>
      <c r="F824" s="7">
        <v>332</v>
      </c>
    </row>
    <row r="825" spans="1:6" ht="28" x14ac:dyDescent="0.3">
      <c r="A825" s="6" t="s">
        <v>14</v>
      </c>
      <c r="B825" s="6" t="s">
        <v>104</v>
      </c>
      <c r="C825" s="6">
        <v>2016</v>
      </c>
      <c r="D825" s="6" t="s">
        <v>0</v>
      </c>
      <c r="E825" s="6" t="s">
        <v>5</v>
      </c>
      <c r="F825" s="7">
        <v>1726</v>
      </c>
    </row>
    <row r="826" spans="1:6" ht="28" x14ac:dyDescent="0.3">
      <c r="A826" s="6" t="s">
        <v>14</v>
      </c>
      <c r="B826" s="6" t="s">
        <v>105</v>
      </c>
      <c r="C826" s="6">
        <v>2016</v>
      </c>
      <c r="D826" s="6" t="s">
        <v>0</v>
      </c>
      <c r="E826" s="6" t="s">
        <v>5</v>
      </c>
      <c r="F826" s="7">
        <v>1512</v>
      </c>
    </row>
    <row r="827" spans="1:6" ht="28" x14ac:dyDescent="0.3">
      <c r="A827" s="6" t="s">
        <v>15</v>
      </c>
      <c r="B827" s="6" t="s">
        <v>106</v>
      </c>
      <c r="C827" s="6">
        <v>2016</v>
      </c>
      <c r="D827" s="6" t="s">
        <v>0</v>
      </c>
      <c r="E827" s="6" t="s">
        <v>5</v>
      </c>
      <c r="F827" s="7">
        <v>311</v>
      </c>
    </row>
    <row r="828" spans="1:6" ht="28" x14ac:dyDescent="0.3">
      <c r="A828" s="6" t="s">
        <v>15</v>
      </c>
      <c r="B828" s="6" t="s">
        <v>107</v>
      </c>
      <c r="C828" s="6">
        <v>2016</v>
      </c>
      <c r="D828" s="6" t="s">
        <v>0</v>
      </c>
      <c r="E828" s="6" t="s">
        <v>5</v>
      </c>
      <c r="F828" s="7">
        <v>378</v>
      </c>
    </row>
    <row r="829" spans="1:6" ht="28" x14ac:dyDescent="0.3">
      <c r="A829" s="6" t="s">
        <v>15</v>
      </c>
      <c r="B829" s="6" t="s">
        <v>108</v>
      </c>
      <c r="C829" s="6">
        <v>2016</v>
      </c>
      <c r="D829" s="6" t="s">
        <v>0</v>
      </c>
      <c r="E829" s="6" t="s">
        <v>5</v>
      </c>
      <c r="F829" s="7">
        <v>251</v>
      </c>
    </row>
    <row r="830" spans="1:6" ht="28" x14ac:dyDescent="0.3">
      <c r="A830" s="6" t="s">
        <v>6</v>
      </c>
      <c r="B830" s="6" t="s">
        <v>17</v>
      </c>
      <c r="C830" s="6">
        <v>2016</v>
      </c>
      <c r="D830" s="6" t="s">
        <v>0</v>
      </c>
      <c r="E830" s="6" t="s">
        <v>4</v>
      </c>
      <c r="F830" s="7">
        <v>110</v>
      </c>
    </row>
    <row r="831" spans="1:6" ht="28" x14ac:dyDescent="0.3">
      <c r="A831" s="6" t="s">
        <v>6</v>
      </c>
      <c r="B831" s="6" t="s">
        <v>18</v>
      </c>
      <c r="C831" s="6">
        <v>2016</v>
      </c>
      <c r="D831" s="6" t="s">
        <v>0</v>
      </c>
      <c r="E831" s="6" t="s">
        <v>4</v>
      </c>
      <c r="F831" s="7">
        <v>2118</v>
      </c>
    </row>
    <row r="832" spans="1:6" ht="28" x14ac:dyDescent="0.3">
      <c r="A832" s="6" t="s">
        <v>6</v>
      </c>
      <c r="B832" s="6" t="s">
        <v>19</v>
      </c>
      <c r="C832" s="6">
        <v>2016</v>
      </c>
      <c r="D832" s="6" t="s">
        <v>0</v>
      </c>
      <c r="E832" s="6" t="s">
        <v>4</v>
      </c>
      <c r="F832" s="7">
        <v>10</v>
      </c>
    </row>
    <row r="833" spans="1:6" ht="28" x14ac:dyDescent="0.3">
      <c r="A833" s="6" t="s">
        <v>6</v>
      </c>
      <c r="B833" s="6" t="s">
        <v>20</v>
      </c>
      <c r="C833" s="6">
        <v>2016</v>
      </c>
      <c r="D833" s="6" t="s">
        <v>0</v>
      </c>
      <c r="E833" s="6" t="s">
        <v>4</v>
      </c>
      <c r="F833" s="7">
        <v>16012</v>
      </c>
    </row>
    <row r="834" spans="1:6" ht="28" x14ac:dyDescent="0.3">
      <c r="A834" s="6" t="s">
        <v>7</v>
      </c>
      <c r="B834" s="6" t="s">
        <v>21</v>
      </c>
      <c r="C834" s="6">
        <v>2016</v>
      </c>
      <c r="D834" s="6" t="s">
        <v>0</v>
      </c>
      <c r="E834" s="6" t="s">
        <v>4</v>
      </c>
      <c r="F834" s="7">
        <v>3295</v>
      </c>
    </row>
    <row r="835" spans="1:6" ht="28" x14ac:dyDescent="0.3">
      <c r="A835" s="6" t="s">
        <v>7</v>
      </c>
      <c r="B835" s="6" t="s">
        <v>22</v>
      </c>
      <c r="C835" s="6">
        <v>2016</v>
      </c>
      <c r="D835" s="6" t="s">
        <v>0</v>
      </c>
      <c r="E835" s="6" t="s">
        <v>4</v>
      </c>
      <c r="F835" s="7">
        <v>17</v>
      </c>
    </row>
    <row r="836" spans="1:6" ht="28" x14ac:dyDescent="0.3">
      <c r="A836" s="6" t="s">
        <v>7</v>
      </c>
      <c r="B836" s="6" t="s">
        <v>23</v>
      </c>
      <c r="C836" s="6">
        <v>2016</v>
      </c>
      <c r="D836" s="6" t="s">
        <v>0</v>
      </c>
      <c r="E836" s="6" t="s">
        <v>4</v>
      </c>
      <c r="F836" s="7">
        <v>32</v>
      </c>
    </row>
    <row r="837" spans="1:6" ht="28" x14ac:dyDescent="0.3">
      <c r="A837" s="6" t="s">
        <v>8</v>
      </c>
      <c r="B837" s="6" t="s">
        <v>24</v>
      </c>
      <c r="C837" s="6">
        <v>2016</v>
      </c>
      <c r="D837" s="6" t="s">
        <v>0</v>
      </c>
      <c r="E837" s="6" t="s">
        <v>4</v>
      </c>
      <c r="F837" s="7">
        <v>2790</v>
      </c>
    </row>
    <row r="838" spans="1:6" ht="28" x14ac:dyDescent="0.3">
      <c r="A838" s="6" t="s">
        <v>8</v>
      </c>
      <c r="B838" s="6" t="s">
        <v>25</v>
      </c>
      <c r="C838" s="6">
        <v>2016</v>
      </c>
      <c r="D838" s="6" t="s">
        <v>0</v>
      </c>
      <c r="E838" s="6" t="s">
        <v>4</v>
      </c>
      <c r="F838" s="7">
        <v>510</v>
      </c>
    </row>
    <row r="839" spans="1:6" ht="28" x14ac:dyDescent="0.3">
      <c r="A839" s="6" t="s">
        <v>9</v>
      </c>
      <c r="B839" s="6" t="s">
        <v>26</v>
      </c>
      <c r="C839" s="6">
        <v>2016</v>
      </c>
      <c r="D839" s="6" t="s">
        <v>0</v>
      </c>
      <c r="E839" s="6" t="s">
        <v>4</v>
      </c>
      <c r="F839" s="7">
        <v>32</v>
      </c>
    </row>
    <row r="840" spans="1:6" ht="28" x14ac:dyDescent="0.3">
      <c r="A840" s="6" t="s">
        <v>9</v>
      </c>
      <c r="B840" s="6" t="s">
        <v>35</v>
      </c>
      <c r="C840" s="6">
        <v>2016</v>
      </c>
      <c r="D840" s="6" t="s">
        <v>0</v>
      </c>
      <c r="E840" s="6" t="s">
        <v>4</v>
      </c>
      <c r="F840" s="7">
        <v>19</v>
      </c>
    </row>
    <row r="841" spans="1:6" ht="28" x14ac:dyDescent="0.3">
      <c r="A841" s="6" t="s">
        <v>9</v>
      </c>
      <c r="B841" s="6" t="s">
        <v>36</v>
      </c>
      <c r="C841" s="6">
        <v>2016</v>
      </c>
      <c r="D841" s="6" t="s">
        <v>0</v>
      </c>
      <c r="E841" s="6" t="s">
        <v>4</v>
      </c>
      <c r="F841" s="7">
        <v>36</v>
      </c>
    </row>
    <row r="842" spans="1:6" ht="28" x14ac:dyDescent="0.3">
      <c r="A842" s="6" t="s">
        <v>9</v>
      </c>
      <c r="B842" s="6" t="s">
        <v>37</v>
      </c>
      <c r="C842" s="6">
        <v>2016</v>
      </c>
      <c r="D842" s="6" t="s">
        <v>0</v>
      </c>
      <c r="E842" s="6" t="s">
        <v>4</v>
      </c>
      <c r="F842" s="7">
        <v>26</v>
      </c>
    </row>
    <row r="843" spans="1:6" ht="28" x14ac:dyDescent="0.3">
      <c r="A843" s="6" t="s">
        <v>9</v>
      </c>
      <c r="B843" s="6" t="s">
        <v>38</v>
      </c>
      <c r="C843" s="6">
        <v>2016</v>
      </c>
      <c r="D843" s="6" t="s">
        <v>0</v>
      </c>
      <c r="E843" s="6" t="s">
        <v>4</v>
      </c>
      <c r="F843" s="7">
        <v>1229</v>
      </c>
    </row>
    <row r="844" spans="1:6" ht="28" x14ac:dyDescent="0.3">
      <c r="A844" s="6" t="s">
        <v>9</v>
      </c>
      <c r="B844" s="6" t="s">
        <v>39</v>
      </c>
      <c r="C844" s="6">
        <v>2016</v>
      </c>
      <c r="D844" s="6" t="s">
        <v>0</v>
      </c>
      <c r="E844" s="6" t="s">
        <v>4</v>
      </c>
      <c r="F844" s="7">
        <v>17</v>
      </c>
    </row>
    <row r="845" spans="1:6" ht="28" x14ac:dyDescent="0.3">
      <c r="A845" s="6" t="s">
        <v>9</v>
      </c>
      <c r="B845" s="6" t="s">
        <v>40</v>
      </c>
      <c r="C845" s="6">
        <v>2016</v>
      </c>
      <c r="D845" s="6" t="s">
        <v>0</v>
      </c>
      <c r="E845" s="6" t="s">
        <v>4</v>
      </c>
      <c r="F845" s="7">
        <v>62</v>
      </c>
    </row>
    <row r="846" spans="1:6" ht="28" x14ac:dyDescent="0.3">
      <c r="A846" s="6" t="s">
        <v>9</v>
      </c>
      <c r="B846" s="6" t="s">
        <v>41</v>
      </c>
      <c r="C846" s="6">
        <v>2016</v>
      </c>
      <c r="D846" s="6" t="s">
        <v>0</v>
      </c>
      <c r="E846" s="6" t="s">
        <v>4</v>
      </c>
      <c r="F846" s="7">
        <v>1705</v>
      </c>
    </row>
    <row r="847" spans="1:6" ht="28" x14ac:dyDescent="0.3">
      <c r="A847" s="6" t="s">
        <v>9</v>
      </c>
      <c r="B847" s="6" t="s">
        <v>42</v>
      </c>
      <c r="C847" s="6">
        <v>2016</v>
      </c>
      <c r="D847" s="6" t="s">
        <v>0</v>
      </c>
      <c r="E847" s="6" t="s">
        <v>4</v>
      </c>
      <c r="F847" s="7">
        <v>2235</v>
      </c>
    </row>
    <row r="848" spans="1:6" ht="28" x14ac:dyDescent="0.3">
      <c r="A848" s="6" t="s">
        <v>9</v>
      </c>
      <c r="B848" s="6" t="s">
        <v>43</v>
      </c>
      <c r="C848" s="6">
        <v>2016</v>
      </c>
      <c r="D848" s="6" t="s">
        <v>0</v>
      </c>
      <c r="E848" s="6" t="s">
        <v>4</v>
      </c>
      <c r="F848" s="7">
        <v>1230</v>
      </c>
    </row>
    <row r="849" spans="1:6" ht="28" x14ac:dyDescent="0.3">
      <c r="A849" s="6" t="s">
        <v>9</v>
      </c>
      <c r="B849" s="6" t="s">
        <v>44</v>
      </c>
      <c r="C849" s="6">
        <v>2016</v>
      </c>
      <c r="D849" s="6" t="s">
        <v>0</v>
      </c>
      <c r="E849" s="6" t="s">
        <v>4</v>
      </c>
      <c r="F849" s="7">
        <v>343</v>
      </c>
    </row>
    <row r="850" spans="1:6" ht="28" x14ac:dyDescent="0.3">
      <c r="A850" s="6" t="s">
        <v>9</v>
      </c>
      <c r="B850" s="6" t="s">
        <v>27</v>
      </c>
      <c r="C850" s="6">
        <v>2016</v>
      </c>
      <c r="D850" s="6" t="s">
        <v>0</v>
      </c>
      <c r="E850" s="6" t="s">
        <v>4</v>
      </c>
      <c r="F850" s="7">
        <v>102</v>
      </c>
    </row>
    <row r="851" spans="1:6" ht="28" x14ac:dyDescent="0.3">
      <c r="A851" s="6" t="s">
        <v>9</v>
      </c>
      <c r="B851" s="6" t="s">
        <v>45</v>
      </c>
      <c r="C851" s="6">
        <v>2016</v>
      </c>
      <c r="D851" s="6" t="s">
        <v>0</v>
      </c>
      <c r="E851" s="6" t="s">
        <v>4</v>
      </c>
      <c r="F851" s="7">
        <v>6</v>
      </c>
    </row>
    <row r="852" spans="1:6" ht="28" x14ac:dyDescent="0.3">
      <c r="A852" s="6" t="s">
        <v>9</v>
      </c>
      <c r="B852" s="6" t="s">
        <v>46</v>
      </c>
      <c r="C852" s="6">
        <v>2016</v>
      </c>
      <c r="D852" s="6" t="s">
        <v>0</v>
      </c>
      <c r="E852" s="6" t="s">
        <v>4</v>
      </c>
      <c r="F852" s="7">
        <v>695</v>
      </c>
    </row>
    <row r="853" spans="1:6" ht="28" x14ac:dyDescent="0.3">
      <c r="A853" s="6" t="s">
        <v>9</v>
      </c>
      <c r="B853" s="6" t="s">
        <v>47</v>
      </c>
      <c r="C853" s="6">
        <v>2016</v>
      </c>
      <c r="D853" s="6" t="s">
        <v>0</v>
      </c>
      <c r="E853" s="6" t="s">
        <v>4</v>
      </c>
      <c r="F853" s="7">
        <v>233</v>
      </c>
    </row>
    <row r="854" spans="1:6" ht="28" x14ac:dyDescent="0.3">
      <c r="A854" s="6" t="s">
        <v>9</v>
      </c>
      <c r="B854" s="6" t="s">
        <v>48</v>
      </c>
      <c r="C854" s="6">
        <v>2016</v>
      </c>
      <c r="D854" s="6" t="s">
        <v>0</v>
      </c>
      <c r="E854" s="6" t="s">
        <v>4</v>
      </c>
      <c r="F854" s="7">
        <v>472</v>
      </c>
    </row>
    <row r="855" spans="1:6" ht="28" x14ac:dyDescent="0.3">
      <c r="A855" s="6" t="s">
        <v>9</v>
      </c>
      <c r="B855" s="6" t="s">
        <v>49</v>
      </c>
      <c r="C855" s="6">
        <v>2016</v>
      </c>
      <c r="D855" s="6" t="s">
        <v>0</v>
      </c>
      <c r="E855" s="6" t="s">
        <v>4</v>
      </c>
      <c r="F855" s="7">
        <v>1032</v>
      </c>
    </row>
    <row r="856" spans="1:6" ht="28" x14ac:dyDescent="0.3">
      <c r="A856" s="6" t="s">
        <v>9</v>
      </c>
      <c r="B856" s="6" t="s">
        <v>50</v>
      </c>
      <c r="C856" s="6">
        <v>2016</v>
      </c>
      <c r="D856" s="6" t="s">
        <v>0</v>
      </c>
      <c r="E856" s="6" t="s">
        <v>4</v>
      </c>
      <c r="F856" s="7">
        <v>819</v>
      </c>
    </row>
    <row r="857" spans="1:6" ht="28" x14ac:dyDescent="0.3">
      <c r="A857" s="6" t="s">
        <v>9</v>
      </c>
      <c r="B857" s="6" t="s">
        <v>51</v>
      </c>
      <c r="C857" s="6">
        <v>2016</v>
      </c>
      <c r="D857" s="6" t="s">
        <v>0</v>
      </c>
      <c r="E857" s="6" t="s">
        <v>4</v>
      </c>
      <c r="F857" s="7">
        <v>2364</v>
      </c>
    </row>
    <row r="858" spans="1:6" ht="28" x14ac:dyDescent="0.3">
      <c r="A858" s="6" t="s">
        <v>9</v>
      </c>
      <c r="B858" s="6" t="s">
        <v>52</v>
      </c>
      <c r="C858" s="6">
        <v>2016</v>
      </c>
      <c r="D858" s="6" t="s">
        <v>0</v>
      </c>
      <c r="E858" s="6" t="s">
        <v>4</v>
      </c>
      <c r="F858" s="7">
        <v>2650</v>
      </c>
    </row>
    <row r="859" spans="1:6" ht="28" x14ac:dyDescent="0.3">
      <c r="A859" s="6" t="s">
        <v>9</v>
      </c>
      <c r="B859" s="6" t="s">
        <v>53</v>
      </c>
      <c r="C859" s="6">
        <v>2016</v>
      </c>
      <c r="D859" s="6" t="s">
        <v>0</v>
      </c>
      <c r="E859" s="6" t="s">
        <v>4</v>
      </c>
      <c r="F859" s="7">
        <v>2282</v>
      </c>
    </row>
    <row r="860" spans="1:6" ht="28" x14ac:dyDescent="0.3">
      <c r="A860" s="6" t="s">
        <v>9</v>
      </c>
      <c r="B860" s="6" t="s">
        <v>54</v>
      </c>
      <c r="C860" s="6">
        <v>2016</v>
      </c>
      <c r="D860" s="6" t="s">
        <v>0</v>
      </c>
      <c r="E860" s="6" t="s">
        <v>4</v>
      </c>
      <c r="F860" s="7">
        <v>361</v>
      </c>
    </row>
    <row r="861" spans="1:6" ht="28" x14ac:dyDescent="0.3">
      <c r="A861" s="6" t="s">
        <v>9</v>
      </c>
      <c r="B861" s="6" t="s">
        <v>28</v>
      </c>
      <c r="C861" s="6">
        <v>2016</v>
      </c>
      <c r="D861" s="6" t="s">
        <v>0</v>
      </c>
      <c r="E861" s="6" t="s">
        <v>4</v>
      </c>
      <c r="F861" s="7">
        <v>3047</v>
      </c>
    </row>
    <row r="862" spans="1:6" ht="28" x14ac:dyDescent="0.3">
      <c r="A862" s="6" t="s">
        <v>9</v>
      </c>
      <c r="B862" s="6" t="s">
        <v>55</v>
      </c>
      <c r="C862" s="6">
        <v>2016</v>
      </c>
      <c r="D862" s="6" t="s">
        <v>0</v>
      </c>
      <c r="E862" s="6" t="s">
        <v>4</v>
      </c>
      <c r="F862" s="7">
        <v>878</v>
      </c>
    </row>
    <row r="863" spans="1:6" ht="28" x14ac:dyDescent="0.3">
      <c r="A863" s="6" t="s">
        <v>9</v>
      </c>
      <c r="B863" s="6" t="s">
        <v>56</v>
      </c>
      <c r="C863" s="6">
        <v>2016</v>
      </c>
      <c r="D863" s="6" t="s">
        <v>0</v>
      </c>
      <c r="E863" s="6" t="s">
        <v>4</v>
      </c>
      <c r="F863" s="7">
        <v>2747</v>
      </c>
    </row>
    <row r="864" spans="1:6" ht="28" x14ac:dyDescent="0.3">
      <c r="A864" s="6" t="s">
        <v>9</v>
      </c>
      <c r="B864" s="6" t="s">
        <v>57</v>
      </c>
      <c r="C864" s="6">
        <v>2016</v>
      </c>
      <c r="D864" s="6" t="s">
        <v>0</v>
      </c>
      <c r="E864" s="6" t="s">
        <v>4</v>
      </c>
      <c r="F864" s="7">
        <v>997</v>
      </c>
    </row>
    <row r="865" spans="1:6" ht="28" x14ac:dyDescent="0.3">
      <c r="A865" s="6" t="s">
        <v>9</v>
      </c>
      <c r="B865" s="6" t="s">
        <v>58</v>
      </c>
      <c r="C865" s="6">
        <v>2016</v>
      </c>
      <c r="D865" s="6" t="s">
        <v>0</v>
      </c>
      <c r="E865" s="6" t="s">
        <v>4</v>
      </c>
      <c r="F865" s="7">
        <v>2765</v>
      </c>
    </row>
    <row r="866" spans="1:6" ht="28" x14ac:dyDescent="0.3">
      <c r="A866" s="6" t="s">
        <v>9</v>
      </c>
      <c r="B866" s="6" t="s">
        <v>29</v>
      </c>
      <c r="C866" s="6">
        <v>2016</v>
      </c>
      <c r="D866" s="6" t="s">
        <v>0</v>
      </c>
      <c r="E866" s="6" t="s">
        <v>4</v>
      </c>
      <c r="F866" s="7">
        <v>11</v>
      </c>
    </row>
    <row r="867" spans="1:6" ht="28" x14ac:dyDescent="0.3">
      <c r="A867" s="6" t="s">
        <v>9</v>
      </c>
      <c r="B867" s="6" t="s">
        <v>30</v>
      </c>
      <c r="C867" s="6">
        <v>2016</v>
      </c>
      <c r="D867" s="6" t="s">
        <v>0</v>
      </c>
      <c r="E867" s="6" t="s">
        <v>4</v>
      </c>
      <c r="F867" s="7">
        <v>41</v>
      </c>
    </row>
    <row r="868" spans="1:6" ht="28" x14ac:dyDescent="0.3">
      <c r="A868" s="6" t="s">
        <v>9</v>
      </c>
      <c r="B868" s="6" t="s">
        <v>31</v>
      </c>
      <c r="C868" s="6">
        <v>2016</v>
      </c>
      <c r="D868" s="6" t="s">
        <v>0</v>
      </c>
      <c r="E868" s="6" t="s">
        <v>4</v>
      </c>
      <c r="F868" s="7">
        <v>1117</v>
      </c>
    </row>
    <row r="869" spans="1:6" ht="28" x14ac:dyDescent="0.3">
      <c r="A869" s="6" t="s">
        <v>9</v>
      </c>
      <c r="B869" s="6" t="s">
        <v>32</v>
      </c>
      <c r="C869" s="6">
        <v>2016</v>
      </c>
      <c r="D869" s="6" t="s">
        <v>0</v>
      </c>
      <c r="E869" s="6" t="s">
        <v>4</v>
      </c>
      <c r="F869" s="7">
        <v>29</v>
      </c>
    </row>
    <row r="870" spans="1:6" ht="28" x14ac:dyDescent="0.3">
      <c r="A870" s="6" t="s">
        <v>9</v>
      </c>
      <c r="B870" s="6" t="s">
        <v>33</v>
      </c>
      <c r="C870" s="6">
        <v>2016</v>
      </c>
      <c r="D870" s="6" t="s">
        <v>0</v>
      </c>
      <c r="E870" s="6" t="s">
        <v>4</v>
      </c>
      <c r="F870" s="7">
        <v>335</v>
      </c>
    </row>
    <row r="871" spans="1:6" ht="28" x14ac:dyDescent="0.3">
      <c r="A871" s="6" t="s">
        <v>9</v>
      </c>
      <c r="B871" s="6" t="s">
        <v>34</v>
      </c>
      <c r="C871" s="6">
        <v>2016</v>
      </c>
      <c r="D871" s="6" t="s">
        <v>0</v>
      </c>
      <c r="E871" s="6" t="s">
        <v>4</v>
      </c>
      <c r="F871" s="7">
        <v>146</v>
      </c>
    </row>
    <row r="872" spans="1:6" ht="28" x14ac:dyDescent="0.3">
      <c r="A872" s="6" t="s">
        <v>10</v>
      </c>
      <c r="B872" s="6" t="s">
        <v>59</v>
      </c>
      <c r="C872" s="6">
        <v>2016</v>
      </c>
      <c r="D872" s="6" t="s">
        <v>0</v>
      </c>
      <c r="E872" s="6" t="s">
        <v>4</v>
      </c>
      <c r="F872" s="7">
        <v>2438</v>
      </c>
    </row>
    <row r="873" spans="1:6" ht="28" x14ac:dyDescent="0.3">
      <c r="A873" s="6" t="s">
        <v>10</v>
      </c>
      <c r="B873" s="6" t="s">
        <v>60</v>
      </c>
      <c r="C873" s="6">
        <v>2016</v>
      </c>
      <c r="D873" s="6" t="s">
        <v>0</v>
      </c>
      <c r="E873" s="6" t="s">
        <v>4</v>
      </c>
      <c r="F873" s="7">
        <v>527</v>
      </c>
    </row>
    <row r="874" spans="1:6" ht="28" x14ac:dyDescent="0.3">
      <c r="A874" s="6" t="s">
        <v>10</v>
      </c>
      <c r="B874" s="6" t="s">
        <v>61</v>
      </c>
      <c r="C874" s="6">
        <v>2016</v>
      </c>
      <c r="D874" s="6" t="s">
        <v>0</v>
      </c>
      <c r="E874" s="6" t="s">
        <v>4</v>
      </c>
      <c r="F874" s="7">
        <v>304</v>
      </c>
    </row>
    <row r="875" spans="1:6" ht="28" x14ac:dyDescent="0.3">
      <c r="A875" s="6" t="s">
        <v>10</v>
      </c>
      <c r="B875" s="6" t="s">
        <v>62</v>
      </c>
      <c r="C875" s="6">
        <v>2016</v>
      </c>
      <c r="D875" s="6" t="s">
        <v>0</v>
      </c>
      <c r="E875" s="6" t="s">
        <v>4</v>
      </c>
      <c r="F875" s="7">
        <v>44</v>
      </c>
    </row>
    <row r="876" spans="1:6" ht="28" x14ac:dyDescent="0.3">
      <c r="A876" s="6" t="s">
        <v>10</v>
      </c>
      <c r="B876" s="6" t="s">
        <v>63</v>
      </c>
      <c r="C876" s="6">
        <v>2016</v>
      </c>
      <c r="D876" s="6" t="s">
        <v>0</v>
      </c>
      <c r="E876" s="6" t="s">
        <v>4</v>
      </c>
      <c r="F876" s="7">
        <v>389</v>
      </c>
    </row>
    <row r="877" spans="1:6" ht="28" x14ac:dyDescent="0.3">
      <c r="A877" s="6" t="s">
        <v>10</v>
      </c>
      <c r="B877" s="6" t="s">
        <v>64</v>
      </c>
      <c r="C877" s="6">
        <v>2016</v>
      </c>
      <c r="D877" s="6" t="s">
        <v>0</v>
      </c>
      <c r="E877" s="6" t="s">
        <v>4</v>
      </c>
      <c r="F877" s="7">
        <v>71</v>
      </c>
    </row>
    <row r="878" spans="1:6" ht="28" x14ac:dyDescent="0.3">
      <c r="A878" s="6" t="s">
        <v>10</v>
      </c>
      <c r="B878" s="6" t="s">
        <v>65</v>
      </c>
      <c r="C878" s="6">
        <v>2016</v>
      </c>
      <c r="D878" s="6" t="s">
        <v>0</v>
      </c>
      <c r="E878" s="6" t="s">
        <v>4</v>
      </c>
      <c r="F878" s="7">
        <v>3265</v>
      </c>
    </row>
    <row r="879" spans="1:6" ht="28" x14ac:dyDescent="0.3">
      <c r="A879" s="6" t="s">
        <v>10</v>
      </c>
      <c r="B879" s="6" t="s">
        <v>66</v>
      </c>
      <c r="C879" s="6">
        <v>2016</v>
      </c>
      <c r="D879" s="6" t="s">
        <v>0</v>
      </c>
      <c r="E879" s="6" t="s">
        <v>4</v>
      </c>
      <c r="F879" s="7">
        <v>405</v>
      </c>
    </row>
    <row r="880" spans="1:6" ht="28" x14ac:dyDescent="0.3">
      <c r="A880" s="6" t="s">
        <v>11</v>
      </c>
      <c r="B880" s="6" t="s">
        <v>67</v>
      </c>
      <c r="C880" s="6">
        <v>2016</v>
      </c>
      <c r="D880" s="6" t="s">
        <v>0</v>
      </c>
      <c r="E880" s="6" t="s">
        <v>4</v>
      </c>
      <c r="F880" s="7">
        <v>68</v>
      </c>
    </row>
    <row r="881" spans="1:6" ht="28" x14ac:dyDescent="0.3">
      <c r="A881" s="6" t="s">
        <v>11</v>
      </c>
      <c r="B881" s="6" t="s">
        <v>76</v>
      </c>
      <c r="C881" s="6">
        <v>2016</v>
      </c>
      <c r="D881" s="6" t="s">
        <v>0</v>
      </c>
      <c r="E881" s="6" t="s">
        <v>4</v>
      </c>
      <c r="F881" s="7">
        <v>295</v>
      </c>
    </row>
    <row r="882" spans="1:6" ht="28" x14ac:dyDescent="0.3">
      <c r="A882" s="6" t="s">
        <v>11</v>
      </c>
      <c r="B882" s="6" t="s">
        <v>77</v>
      </c>
      <c r="C882" s="6">
        <v>2016</v>
      </c>
      <c r="D882" s="6" t="s">
        <v>0</v>
      </c>
      <c r="E882" s="6" t="s">
        <v>4</v>
      </c>
      <c r="F882" s="7">
        <v>630</v>
      </c>
    </row>
    <row r="883" spans="1:6" ht="28" x14ac:dyDescent="0.3">
      <c r="A883" s="6" t="s">
        <v>11</v>
      </c>
      <c r="B883" s="6" t="s">
        <v>78</v>
      </c>
      <c r="C883" s="6">
        <v>2016</v>
      </c>
      <c r="D883" s="6" t="s">
        <v>0</v>
      </c>
      <c r="E883" s="6" t="s">
        <v>4</v>
      </c>
      <c r="F883" s="7">
        <v>182</v>
      </c>
    </row>
    <row r="884" spans="1:6" ht="28" x14ac:dyDescent="0.3">
      <c r="A884" s="6" t="s">
        <v>11</v>
      </c>
      <c r="B884" s="6" t="s">
        <v>79</v>
      </c>
      <c r="C884" s="6">
        <v>2016</v>
      </c>
      <c r="D884" s="6" t="s">
        <v>0</v>
      </c>
      <c r="E884" s="6" t="s">
        <v>4</v>
      </c>
      <c r="F884" s="7">
        <v>51</v>
      </c>
    </row>
    <row r="885" spans="1:6" ht="28" x14ac:dyDescent="0.3">
      <c r="A885" s="6" t="s">
        <v>11</v>
      </c>
      <c r="B885" s="6" t="s">
        <v>80</v>
      </c>
      <c r="C885" s="6">
        <v>2016</v>
      </c>
      <c r="D885" s="6" t="s">
        <v>0</v>
      </c>
      <c r="E885" s="6" t="s">
        <v>4</v>
      </c>
      <c r="F885" s="7">
        <v>97</v>
      </c>
    </row>
    <row r="886" spans="1:6" ht="28" x14ac:dyDescent="0.3">
      <c r="A886" s="6" t="s">
        <v>11</v>
      </c>
      <c r="B886" s="6" t="s">
        <v>68</v>
      </c>
      <c r="C886" s="6">
        <v>2016</v>
      </c>
      <c r="D886" s="6" t="s">
        <v>0</v>
      </c>
      <c r="E886" s="6" t="s">
        <v>4</v>
      </c>
      <c r="F886" s="7">
        <v>114</v>
      </c>
    </row>
    <row r="887" spans="1:6" ht="28" x14ac:dyDescent="0.3">
      <c r="A887" s="6" t="s">
        <v>11</v>
      </c>
      <c r="B887" s="6" t="s">
        <v>69</v>
      </c>
      <c r="C887" s="6">
        <v>2016</v>
      </c>
      <c r="D887" s="6" t="s">
        <v>0</v>
      </c>
      <c r="E887" s="6" t="s">
        <v>4</v>
      </c>
      <c r="F887" s="7">
        <v>6792</v>
      </c>
    </row>
    <row r="888" spans="1:6" ht="28" x14ac:dyDescent="0.3">
      <c r="A888" s="6" t="s">
        <v>11</v>
      </c>
      <c r="B888" s="6" t="s">
        <v>70</v>
      </c>
      <c r="C888" s="6">
        <v>2016</v>
      </c>
      <c r="D888" s="6" t="s">
        <v>0</v>
      </c>
      <c r="E888" s="6" t="s">
        <v>4</v>
      </c>
      <c r="F888" s="7">
        <v>3903</v>
      </c>
    </row>
    <row r="889" spans="1:6" ht="28" x14ac:dyDescent="0.3">
      <c r="A889" s="6" t="s">
        <v>11</v>
      </c>
      <c r="B889" s="6" t="s">
        <v>71</v>
      </c>
      <c r="C889" s="6">
        <v>2016</v>
      </c>
      <c r="D889" s="6" t="s">
        <v>0</v>
      </c>
      <c r="E889" s="6" t="s">
        <v>4</v>
      </c>
      <c r="F889" s="7">
        <v>13</v>
      </c>
    </row>
    <row r="890" spans="1:6" ht="28" x14ac:dyDescent="0.3">
      <c r="A890" s="6" t="s">
        <v>11</v>
      </c>
      <c r="B890" s="6" t="s">
        <v>72</v>
      </c>
      <c r="C890" s="6">
        <v>2016</v>
      </c>
      <c r="D890" s="6" t="s">
        <v>0</v>
      </c>
      <c r="E890" s="6" t="s">
        <v>4</v>
      </c>
      <c r="F890" s="7">
        <v>281</v>
      </c>
    </row>
    <row r="891" spans="1:6" ht="28" x14ac:dyDescent="0.3">
      <c r="A891" s="6" t="s">
        <v>11</v>
      </c>
      <c r="B891" s="6" t="s">
        <v>73</v>
      </c>
      <c r="C891" s="6">
        <v>2016</v>
      </c>
      <c r="D891" s="6" t="s">
        <v>0</v>
      </c>
      <c r="E891" s="6" t="s">
        <v>4</v>
      </c>
      <c r="F891" s="7">
        <v>106</v>
      </c>
    </row>
    <row r="892" spans="1:6" ht="28" x14ac:dyDescent="0.3">
      <c r="A892" s="6" t="s">
        <v>11</v>
      </c>
      <c r="B892" s="6" t="s">
        <v>74</v>
      </c>
      <c r="C892" s="6">
        <v>2016</v>
      </c>
      <c r="D892" s="6" t="s">
        <v>0</v>
      </c>
      <c r="E892" s="6" t="s">
        <v>4</v>
      </c>
      <c r="F892" s="7">
        <v>63</v>
      </c>
    </row>
    <row r="893" spans="1:6" ht="28" x14ac:dyDescent="0.3">
      <c r="A893" s="6" t="s">
        <v>11</v>
      </c>
      <c r="B893" s="6" t="s">
        <v>75</v>
      </c>
      <c r="C893" s="6">
        <v>2016</v>
      </c>
      <c r="D893" s="6" t="s">
        <v>0</v>
      </c>
      <c r="E893" s="6" t="s">
        <v>4</v>
      </c>
      <c r="F893" s="7">
        <v>14629</v>
      </c>
    </row>
    <row r="894" spans="1:6" ht="28" x14ac:dyDescent="0.3">
      <c r="A894" s="6" t="s">
        <v>12</v>
      </c>
      <c r="B894" s="6" t="s">
        <v>81</v>
      </c>
      <c r="C894" s="6">
        <v>2016</v>
      </c>
      <c r="D894" s="6" t="s">
        <v>0</v>
      </c>
      <c r="E894" s="6" t="s">
        <v>4</v>
      </c>
      <c r="F894" s="7">
        <v>71</v>
      </c>
    </row>
    <row r="895" spans="1:6" ht="28" x14ac:dyDescent="0.3">
      <c r="A895" s="6" t="s">
        <v>12</v>
      </c>
      <c r="B895" s="6" t="s">
        <v>82</v>
      </c>
      <c r="C895" s="6">
        <v>2016</v>
      </c>
      <c r="D895" s="6" t="s">
        <v>0</v>
      </c>
      <c r="E895" s="6" t="s">
        <v>4</v>
      </c>
      <c r="F895" s="7">
        <v>305</v>
      </c>
    </row>
    <row r="896" spans="1:6" ht="28" x14ac:dyDescent="0.3">
      <c r="A896" s="6" t="s">
        <v>12</v>
      </c>
      <c r="B896" s="6" t="s">
        <v>83</v>
      </c>
      <c r="C896" s="6">
        <v>2016</v>
      </c>
      <c r="D896" s="6" t="s">
        <v>0</v>
      </c>
      <c r="E896" s="6" t="s">
        <v>4</v>
      </c>
      <c r="F896" s="7">
        <v>268</v>
      </c>
    </row>
    <row r="897" spans="1:6" ht="28" x14ac:dyDescent="0.3">
      <c r="A897" s="6" t="s">
        <v>12</v>
      </c>
      <c r="B897" s="6" t="s">
        <v>84</v>
      </c>
      <c r="C897" s="6">
        <v>2016</v>
      </c>
      <c r="D897" s="6" t="s">
        <v>0</v>
      </c>
      <c r="E897" s="6" t="s">
        <v>4</v>
      </c>
      <c r="F897" s="7">
        <v>140</v>
      </c>
    </row>
    <row r="898" spans="1:6" ht="28" x14ac:dyDescent="0.3">
      <c r="A898" s="6" t="s">
        <v>12</v>
      </c>
      <c r="B898" s="6" t="s">
        <v>85</v>
      </c>
      <c r="C898" s="6">
        <v>2016</v>
      </c>
      <c r="D898" s="6" t="s">
        <v>0</v>
      </c>
      <c r="E898" s="6" t="s">
        <v>4</v>
      </c>
      <c r="F898" s="7">
        <v>2263</v>
      </c>
    </row>
    <row r="899" spans="1:6" ht="28" x14ac:dyDescent="0.3">
      <c r="A899" s="6" t="s">
        <v>12</v>
      </c>
      <c r="B899" s="6" t="s">
        <v>86</v>
      </c>
      <c r="C899" s="6">
        <v>2016</v>
      </c>
      <c r="D899" s="6" t="s">
        <v>0</v>
      </c>
      <c r="E899" s="6" t="s">
        <v>4</v>
      </c>
      <c r="F899" s="7">
        <v>71</v>
      </c>
    </row>
    <row r="900" spans="1:6" ht="28" x14ac:dyDescent="0.3">
      <c r="A900" s="6" t="s">
        <v>12</v>
      </c>
      <c r="B900" s="6" t="s">
        <v>87</v>
      </c>
      <c r="C900" s="6">
        <v>2016</v>
      </c>
      <c r="D900" s="6" t="s">
        <v>0</v>
      </c>
      <c r="E900" s="6" t="s">
        <v>4</v>
      </c>
      <c r="F900" s="7">
        <v>219</v>
      </c>
    </row>
    <row r="901" spans="1:6" ht="28" x14ac:dyDescent="0.3">
      <c r="A901" s="6" t="s">
        <v>12</v>
      </c>
      <c r="B901" s="6" t="s">
        <v>88</v>
      </c>
      <c r="C901" s="6">
        <v>2016</v>
      </c>
      <c r="D901" s="6" t="s">
        <v>0</v>
      </c>
      <c r="E901" s="6" t="s">
        <v>4</v>
      </c>
      <c r="F901" s="7">
        <v>1957</v>
      </c>
    </row>
    <row r="902" spans="1:6" ht="28" x14ac:dyDescent="0.3">
      <c r="A902" s="6" t="s">
        <v>13</v>
      </c>
      <c r="B902" s="6" t="s">
        <v>89</v>
      </c>
      <c r="C902" s="6">
        <v>2016</v>
      </c>
      <c r="D902" s="6" t="s">
        <v>0</v>
      </c>
      <c r="E902" s="6" t="s">
        <v>4</v>
      </c>
      <c r="F902" s="7">
        <v>24</v>
      </c>
    </row>
    <row r="903" spans="1:6" ht="28" x14ac:dyDescent="0.3">
      <c r="A903" s="6" t="s">
        <v>13</v>
      </c>
      <c r="B903" s="6" t="s">
        <v>98</v>
      </c>
      <c r="C903" s="6">
        <v>2016</v>
      </c>
      <c r="D903" s="6" t="s">
        <v>0</v>
      </c>
      <c r="E903" s="6" t="s">
        <v>4</v>
      </c>
      <c r="F903" s="7">
        <v>16</v>
      </c>
    </row>
    <row r="904" spans="1:6" ht="28" x14ac:dyDescent="0.3">
      <c r="A904" s="6" t="s">
        <v>13</v>
      </c>
      <c r="B904" s="6" t="s">
        <v>99</v>
      </c>
      <c r="C904" s="6">
        <v>2016</v>
      </c>
      <c r="D904" s="6" t="s">
        <v>0</v>
      </c>
      <c r="E904" s="6" t="s">
        <v>4</v>
      </c>
      <c r="F904" s="7">
        <v>38</v>
      </c>
    </row>
    <row r="905" spans="1:6" ht="28" x14ac:dyDescent="0.3">
      <c r="A905" s="6" t="s">
        <v>13</v>
      </c>
      <c r="B905" s="6" t="s">
        <v>90</v>
      </c>
      <c r="C905" s="6">
        <v>2016</v>
      </c>
      <c r="D905" s="6" t="s">
        <v>0</v>
      </c>
      <c r="E905" s="6" t="s">
        <v>4</v>
      </c>
      <c r="F905" s="7">
        <v>218</v>
      </c>
    </row>
    <row r="906" spans="1:6" ht="28" x14ac:dyDescent="0.3">
      <c r="A906" s="6" t="s">
        <v>13</v>
      </c>
      <c r="B906" s="6" t="s">
        <v>91</v>
      </c>
      <c r="C906" s="6">
        <v>2016</v>
      </c>
      <c r="D906" s="6" t="s">
        <v>0</v>
      </c>
      <c r="E906" s="6" t="s">
        <v>4</v>
      </c>
      <c r="F906" s="7">
        <v>27</v>
      </c>
    </row>
    <row r="907" spans="1:6" ht="28" x14ac:dyDescent="0.3">
      <c r="A907" s="6" t="s">
        <v>13</v>
      </c>
      <c r="B907" s="6" t="s">
        <v>92</v>
      </c>
      <c r="C907" s="6">
        <v>2016</v>
      </c>
      <c r="D907" s="6" t="s">
        <v>0</v>
      </c>
      <c r="E907" s="6" t="s">
        <v>4</v>
      </c>
      <c r="F907" s="7">
        <v>74</v>
      </c>
    </row>
    <row r="908" spans="1:6" ht="28" x14ac:dyDescent="0.3">
      <c r="A908" s="6" t="s">
        <v>13</v>
      </c>
      <c r="B908" s="6" t="s">
        <v>93</v>
      </c>
      <c r="C908" s="6">
        <v>2016</v>
      </c>
      <c r="D908" s="6" t="s">
        <v>0</v>
      </c>
      <c r="E908" s="6" t="s">
        <v>4</v>
      </c>
      <c r="F908" s="7">
        <v>25</v>
      </c>
    </row>
    <row r="909" spans="1:6" ht="28" x14ac:dyDescent="0.3">
      <c r="A909" s="6" t="s">
        <v>13</v>
      </c>
      <c r="B909" s="6" t="s">
        <v>94</v>
      </c>
      <c r="C909" s="6">
        <v>2016</v>
      </c>
      <c r="D909" s="6" t="s">
        <v>0</v>
      </c>
      <c r="E909" s="6" t="s">
        <v>4</v>
      </c>
      <c r="F909" s="7">
        <v>9</v>
      </c>
    </row>
    <row r="910" spans="1:6" ht="28" x14ac:dyDescent="0.3">
      <c r="A910" s="6" t="s">
        <v>13</v>
      </c>
      <c r="B910" s="6" t="s">
        <v>95</v>
      </c>
      <c r="C910" s="6">
        <v>2016</v>
      </c>
      <c r="D910" s="6" t="s">
        <v>0</v>
      </c>
      <c r="E910" s="6" t="s">
        <v>4</v>
      </c>
      <c r="F910" s="7">
        <v>40</v>
      </c>
    </row>
    <row r="911" spans="1:6" ht="28" x14ac:dyDescent="0.3">
      <c r="A911" s="6" t="s">
        <v>13</v>
      </c>
      <c r="B911" s="6" t="s">
        <v>96</v>
      </c>
      <c r="C911" s="6">
        <v>2016</v>
      </c>
      <c r="D911" s="6" t="s">
        <v>0</v>
      </c>
      <c r="E911" s="6" t="s">
        <v>4</v>
      </c>
      <c r="F911" s="7">
        <v>363</v>
      </c>
    </row>
    <row r="912" spans="1:6" ht="28" x14ac:dyDescent="0.3">
      <c r="A912" s="6" t="s">
        <v>13</v>
      </c>
      <c r="B912" s="6" t="s">
        <v>97</v>
      </c>
      <c r="C912" s="6">
        <v>2016</v>
      </c>
      <c r="D912" s="6" t="s">
        <v>0</v>
      </c>
      <c r="E912" s="6" t="s">
        <v>4</v>
      </c>
      <c r="F912" s="7">
        <v>59</v>
      </c>
    </row>
    <row r="913" spans="1:6" ht="28" x14ac:dyDescent="0.3">
      <c r="A913" s="6" t="s">
        <v>14</v>
      </c>
      <c r="B913" s="6" t="s">
        <v>100</v>
      </c>
      <c r="C913" s="6">
        <v>2016</v>
      </c>
      <c r="D913" s="6" t="s">
        <v>0</v>
      </c>
      <c r="E913" s="6" t="s">
        <v>4</v>
      </c>
      <c r="F913" s="7">
        <v>1703</v>
      </c>
    </row>
    <row r="914" spans="1:6" ht="28" x14ac:dyDescent="0.3">
      <c r="A914" s="6" t="s">
        <v>14</v>
      </c>
      <c r="B914" s="6" t="s">
        <v>101</v>
      </c>
      <c r="C914" s="6">
        <v>2016</v>
      </c>
      <c r="D914" s="6" t="s">
        <v>0</v>
      </c>
      <c r="E914" s="6" t="s">
        <v>4</v>
      </c>
      <c r="F914" s="7">
        <v>290</v>
      </c>
    </row>
    <row r="915" spans="1:6" ht="28" x14ac:dyDescent="0.3">
      <c r="A915" s="6" t="s">
        <v>14</v>
      </c>
      <c r="B915" s="6" t="s">
        <v>102</v>
      </c>
      <c r="C915" s="6">
        <v>2016</v>
      </c>
      <c r="D915" s="6" t="s">
        <v>0</v>
      </c>
      <c r="E915" s="6" t="s">
        <v>4</v>
      </c>
      <c r="F915" s="7">
        <v>4228</v>
      </c>
    </row>
    <row r="916" spans="1:6" ht="28" x14ac:dyDescent="0.3">
      <c r="A916" s="6" t="s">
        <v>14</v>
      </c>
      <c r="B916" s="6" t="s">
        <v>103</v>
      </c>
      <c r="C916" s="6">
        <v>2016</v>
      </c>
      <c r="D916" s="6" t="s">
        <v>0</v>
      </c>
      <c r="E916" s="6" t="s">
        <v>4</v>
      </c>
      <c r="F916" s="7">
        <v>4451</v>
      </c>
    </row>
    <row r="917" spans="1:6" ht="28" x14ac:dyDescent="0.3">
      <c r="A917" s="6" t="s">
        <v>14</v>
      </c>
      <c r="B917" s="6" t="s">
        <v>104</v>
      </c>
      <c r="C917" s="6">
        <v>2016</v>
      </c>
      <c r="D917" s="6" t="s">
        <v>0</v>
      </c>
      <c r="E917" s="6" t="s">
        <v>4</v>
      </c>
      <c r="F917" s="7">
        <v>8827</v>
      </c>
    </row>
    <row r="918" spans="1:6" ht="28" x14ac:dyDescent="0.3">
      <c r="A918" s="6" t="s">
        <v>14</v>
      </c>
      <c r="B918" s="6" t="s">
        <v>105</v>
      </c>
      <c r="C918" s="6">
        <v>2016</v>
      </c>
      <c r="D918" s="6" t="s">
        <v>0</v>
      </c>
      <c r="E918" s="6" t="s">
        <v>4</v>
      </c>
      <c r="F918" s="7">
        <v>1972</v>
      </c>
    </row>
    <row r="919" spans="1:6" ht="28" x14ac:dyDescent="0.3">
      <c r="A919" s="6" t="s">
        <v>15</v>
      </c>
      <c r="B919" s="6" t="s">
        <v>106</v>
      </c>
      <c r="C919" s="6">
        <v>2016</v>
      </c>
      <c r="D919" s="6" t="s">
        <v>0</v>
      </c>
      <c r="E919" s="6" t="s">
        <v>4</v>
      </c>
      <c r="F919" s="7">
        <v>175</v>
      </c>
    </row>
    <row r="920" spans="1:6" ht="28" x14ac:dyDescent="0.3">
      <c r="A920" s="6" t="s">
        <v>15</v>
      </c>
      <c r="B920" s="6" t="s">
        <v>107</v>
      </c>
      <c r="C920" s="6">
        <v>2016</v>
      </c>
      <c r="D920" s="6" t="s">
        <v>0</v>
      </c>
      <c r="E920" s="6" t="s">
        <v>4</v>
      </c>
      <c r="F920" s="7">
        <v>263</v>
      </c>
    </row>
    <row r="921" spans="1:6" ht="28" x14ac:dyDescent="0.3">
      <c r="A921" s="6" t="s">
        <v>15</v>
      </c>
      <c r="B921" s="6" t="s">
        <v>108</v>
      </c>
      <c r="C921" s="6">
        <v>2016</v>
      </c>
      <c r="D921" s="6" t="s">
        <v>0</v>
      </c>
      <c r="E921" s="6" t="s">
        <v>4</v>
      </c>
      <c r="F921" s="7">
        <v>256</v>
      </c>
    </row>
    <row r="922" spans="1:6" ht="28" x14ac:dyDescent="0.3">
      <c r="A922" s="6" t="s">
        <v>6</v>
      </c>
      <c r="B922" s="6" t="s">
        <v>17</v>
      </c>
      <c r="C922" s="6">
        <v>2016</v>
      </c>
      <c r="D922" s="6" t="s">
        <v>1</v>
      </c>
      <c r="E922" s="6" t="s">
        <v>5</v>
      </c>
      <c r="F922" s="7">
        <v>38</v>
      </c>
    </row>
    <row r="923" spans="1:6" ht="28" x14ac:dyDescent="0.3">
      <c r="A923" s="6" t="s">
        <v>6</v>
      </c>
      <c r="B923" s="6" t="s">
        <v>18</v>
      </c>
      <c r="C923" s="6">
        <v>2016</v>
      </c>
      <c r="D923" s="6" t="s">
        <v>1</v>
      </c>
      <c r="E923" s="6" t="s">
        <v>5</v>
      </c>
      <c r="F923" s="7">
        <v>665</v>
      </c>
    </row>
    <row r="924" spans="1:6" ht="28" x14ac:dyDescent="0.3">
      <c r="A924" s="6" t="s">
        <v>6</v>
      </c>
      <c r="B924" s="6" t="s">
        <v>19</v>
      </c>
      <c r="C924" s="6">
        <v>2016</v>
      </c>
      <c r="D924" s="6" t="s">
        <v>1</v>
      </c>
      <c r="E924" s="6" t="s">
        <v>5</v>
      </c>
      <c r="F924" s="7">
        <v>19727</v>
      </c>
    </row>
    <row r="925" spans="1:6" ht="28" x14ac:dyDescent="0.3">
      <c r="A925" s="6" t="s">
        <v>6</v>
      </c>
      <c r="B925" s="6" t="s">
        <v>20</v>
      </c>
      <c r="C925" s="6">
        <v>2016</v>
      </c>
      <c r="D925" s="6" t="s">
        <v>1</v>
      </c>
      <c r="E925" s="6" t="s">
        <v>5</v>
      </c>
      <c r="F925" s="7">
        <v>18508</v>
      </c>
    </row>
    <row r="926" spans="1:6" ht="28" x14ac:dyDescent="0.3">
      <c r="A926" s="6" t="s">
        <v>7</v>
      </c>
      <c r="B926" s="6" t="s">
        <v>21</v>
      </c>
      <c r="C926" s="6">
        <v>2016</v>
      </c>
      <c r="D926" s="6" t="s">
        <v>1</v>
      </c>
      <c r="E926" s="6" t="s">
        <v>5</v>
      </c>
      <c r="F926" s="7">
        <v>2836</v>
      </c>
    </row>
    <row r="927" spans="1:6" ht="28" x14ac:dyDescent="0.3">
      <c r="A927" s="6" t="s">
        <v>7</v>
      </c>
      <c r="B927" s="6" t="s">
        <v>22</v>
      </c>
      <c r="C927" s="6">
        <v>2016</v>
      </c>
      <c r="D927" s="6" t="s">
        <v>1</v>
      </c>
      <c r="E927" s="6" t="s">
        <v>5</v>
      </c>
      <c r="F927" s="7">
        <v>6</v>
      </c>
    </row>
    <row r="928" spans="1:6" ht="28" x14ac:dyDescent="0.3">
      <c r="A928" s="6" t="s">
        <v>7</v>
      </c>
      <c r="B928" s="6" t="s">
        <v>23</v>
      </c>
      <c r="C928" s="6">
        <v>2016</v>
      </c>
      <c r="D928" s="6" t="s">
        <v>1</v>
      </c>
      <c r="E928" s="6" t="s">
        <v>5</v>
      </c>
      <c r="F928" s="7">
        <v>24</v>
      </c>
    </row>
    <row r="929" spans="1:6" ht="28" x14ac:dyDescent="0.3">
      <c r="A929" s="6" t="s">
        <v>8</v>
      </c>
      <c r="B929" s="6" t="s">
        <v>24</v>
      </c>
      <c r="C929" s="6">
        <v>2016</v>
      </c>
      <c r="D929" s="6" t="s">
        <v>1</v>
      </c>
      <c r="E929" s="6" t="s">
        <v>5</v>
      </c>
      <c r="F929" s="7">
        <v>568</v>
      </c>
    </row>
    <row r="930" spans="1:6" ht="28" x14ac:dyDescent="0.3">
      <c r="A930" s="6" t="s">
        <v>8</v>
      </c>
      <c r="B930" s="6" t="s">
        <v>25</v>
      </c>
      <c r="C930" s="6">
        <v>2016</v>
      </c>
      <c r="D930" s="6" t="s">
        <v>1</v>
      </c>
      <c r="E930" s="6" t="s">
        <v>5</v>
      </c>
      <c r="F930" s="7">
        <v>510</v>
      </c>
    </row>
    <row r="931" spans="1:6" ht="28" x14ac:dyDescent="0.3">
      <c r="A931" s="6" t="s">
        <v>9</v>
      </c>
      <c r="B931" s="6" t="s">
        <v>26</v>
      </c>
      <c r="C931" s="6">
        <v>2016</v>
      </c>
      <c r="D931" s="6" t="s">
        <v>1</v>
      </c>
      <c r="E931" s="6" t="s">
        <v>5</v>
      </c>
      <c r="F931" s="7">
        <v>21</v>
      </c>
    </row>
    <row r="932" spans="1:6" ht="28" x14ac:dyDescent="0.3">
      <c r="A932" s="6" t="s">
        <v>9</v>
      </c>
      <c r="B932" s="6" t="s">
        <v>35</v>
      </c>
      <c r="C932" s="6">
        <v>2016</v>
      </c>
      <c r="D932" s="6" t="s">
        <v>1</v>
      </c>
      <c r="E932" s="6" t="s">
        <v>5</v>
      </c>
      <c r="F932" s="7">
        <v>10</v>
      </c>
    </row>
    <row r="933" spans="1:6" ht="28" x14ac:dyDescent="0.3">
      <c r="A933" s="6" t="s">
        <v>9</v>
      </c>
      <c r="B933" s="6" t="s">
        <v>36</v>
      </c>
      <c r="C933" s="6">
        <v>2016</v>
      </c>
      <c r="D933" s="6" t="s">
        <v>1</v>
      </c>
      <c r="E933" s="6" t="s">
        <v>5</v>
      </c>
      <c r="F933" s="7">
        <v>20</v>
      </c>
    </row>
    <row r="934" spans="1:6" ht="28" x14ac:dyDescent="0.3">
      <c r="A934" s="6" t="s">
        <v>9</v>
      </c>
      <c r="B934" s="6" t="s">
        <v>37</v>
      </c>
      <c r="C934" s="6">
        <v>2016</v>
      </c>
      <c r="D934" s="6" t="s">
        <v>1</v>
      </c>
      <c r="E934" s="6" t="s">
        <v>5</v>
      </c>
      <c r="F934" s="7">
        <v>6</v>
      </c>
    </row>
    <row r="935" spans="1:6" ht="28" x14ac:dyDescent="0.3">
      <c r="A935" s="6" t="s">
        <v>9</v>
      </c>
      <c r="B935" s="6" t="s">
        <v>38</v>
      </c>
      <c r="C935" s="6">
        <v>2016</v>
      </c>
      <c r="D935" s="6" t="s">
        <v>1</v>
      </c>
      <c r="E935" s="6" t="s">
        <v>5</v>
      </c>
      <c r="F935" s="7">
        <v>1230</v>
      </c>
    </row>
    <row r="936" spans="1:6" ht="28" x14ac:dyDescent="0.3">
      <c r="A936" s="6" t="s">
        <v>9</v>
      </c>
      <c r="B936" s="6" t="s">
        <v>39</v>
      </c>
      <c r="C936" s="6">
        <v>2016</v>
      </c>
      <c r="D936" s="6" t="s">
        <v>1</v>
      </c>
      <c r="E936" s="6" t="s">
        <v>5</v>
      </c>
      <c r="F936" s="7">
        <v>6</v>
      </c>
    </row>
    <row r="937" spans="1:6" ht="28" x14ac:dyDescent="0.3">
      <c r="A937" s="6" t="s">
        <v>9</v>
      </c>
      <c r="B937" s="6" t="s">
        <v>40</v>
      </c>
      <c r="C937" s="6">
        <v>2016</v>
      </c>
      <c r="D937" s="6" t="s">
        <v>1</v>
      </c>
      <c r="E937" s="6" t="s">
        <v>5</v>
      </c>
      <c r="F937" s="7">
        <v>18</v>
      </c>
    </row>
    <row r="938" spans="1:6" ht="28" x14ac:dyDescent="0.3">
      <c r="A938" s="6" t="s">
        <v>9</v>
      </c>
      <c r="B938" s="6" t="s">
        <v>41</v>
      </c>
      <c r="C938" s="6">
        <v>2016</v>
      </c>
      <c r="D938" s="6" t="s">
        <v>1</v>
      </c>
      <c r="E938" s="6" t="s">
        <v>5</v>
      </c>
      <c r="F938" s="7">
        <v>1766</v>
      </c>
    </row>
    <row r="939" spans="1:6" ht="28" x14ac:dyDescent="0.3">
      <c r="A939" s="6" t="s">
        <v>9</v>
      </c>
      <c r="B939" s="6" t="s">
        <v>42</v>
      </c>
      <c r="C939" s="6">
        <v>2016</v>
      </c>
      <c r="D939" s="6" t="s">
        <v>1</v>
      </c>
      <c r="E939" s="6" t="s">
        <v>5</v>
      </c>
      <c r="F939" s="7">
        <v>5564</v>
      </c>
    </row>
    <row r="940" spans="1:6" ht="28" x14ac:dyDescent="0.3">
      <c r="A940" s="6" t="s">
        <v>9</v>
      </c>
      <c r="B940" s="6" t="s">
        <v>43</v>
      </c>
      <c r="C940" s="6">
        <v>2016</v>
      </c>
      <c r="D940" s="6" t="s">
        <v>1</v>
      </c>
      <c r="E940" s="6" t="s">
        <v>5</v>
      </c>
      <c r="F940" s="7">
        <v>2219</v>
      </c>
    </row>
    <row r="941" spans="1:6" ht="28" x14ac:dyDescent="0.3">
      <c r="A941" s="6" t="s">
        <v>9</v>
      </c>
      <c r="B941" s="6" t="s">
        <v>44</v>
      </c>
      <c r="C941" s="6">
        <v>2016</v>
      </c>
      <c r="D941" s="6" t="s">
        <v>1</v>
      </c>
      <c r="E941" s="6" t="s">
        <v>5</v>
      </c>
      <c r="F941" s="7">
        <v>330</v>
      </c>
    </row>
    <row r="942" spans="1:6" ht="28" x14ac:dyDescent="0.3">
      <c r="A942" s="6" t="s">
        <v>9</v>
      </c>
      <c r="B942" s="6" t="s">
        <v>27</v>
      </c>
      <c r="C942" s="6">
        <v>2016</v>
      </c>
      <c r="D942" s="6" t="s">
        <v>1</v>
      </c>
      <c r="E942" s="6" t="s">
        <v>5</v>
      </c>
      <c r="F942" s="7">
        <v>399</v>
      </c>
    </row>
    <row r="943" spans="1:6" ht="28" x14ac:dyDescent="0.3">
      <c r="A943" s="6" t="s">
        <v>9</v>
      </c>
      <c r="B943" s="6" t="s">
        <v>45</v>
      </c>
      <c r="C943" s="6">
        <v>2016</v>
      </c>
      <c r="D943" s="6" t="s">
        <v>1</v>
      </c>
      <c r="E943" s="6" t="s">
        <v>5</v>
      </c>
      <c r="F943" s="7">
        <v>6</v>
      </c>
    </row>
    <row r="944" spans="1:6" ht="28" x14ac:dyDescent="0.3">
      <c r="A944" s="6" t="s">
        <v>9</v>
      </c>
      <c r="B944" s="6" t="s">
        <v>46</v>
      </c>
      <c r="C944" s="6">
        <v>2016</v>
      </c>
      <c r="D944" s="6" t="s">
        <v>1</v>
      </c>
      <c r="E944" s="6" t="s">
        <v>5</v>
      </c>
      <c r="F944" s="7">
        <v>1436</v>
      </c>
    </row>
    <row r="945" spans="1:6" ht="28" x14ac:dyDescent="0.3">
      <c r="A945" s="6" t="s">
        <v>9</v>
      </c>
      <c r="B945" s="6" t="s">
        <v>47</v>
      </c>
      <c r="C945" s="6">
        <v>2016</v>
      </c>
      <c r="D945" s="6" t="s">
        <v>1</v>
      </c>
      <c r="E945" s="6" t="s">
        <v>5</v>
      </c>
      <c r="F945" s="7">
        <v>36</v>
      </c>
    </row>
    <row r="946" spans="1:6" ht="28" x14ac:dyDescent="0.3">
      <c r="A946" s="6" t="s">
        <v>9</v>
      </c>
      <c r="B946" s="6" t="s">
        <v>48</v>
      </c>
      <c r="C946" s="6">
        <v>2016</v>
      </c>
      <c r="D946" s="6" t="s">
        <v>1</v>
      </c>
      <c r="E946" s="6" t="s">
        <v>5</v>
      </c>
      <c r="F946" s="7">
        <v>1424</v>
      </c>
    </row>
    <row r="947" spans="1:6" ht="28" x14ac:dyDescent="0.3">
      <c r="A947" s="6" t="s">
        <v>9</v>
      </c>
      <c r="B947" s="6" t="s">
        <v>49</v>
      </c>
      <c r="C947" s="6">
        <v>2016</v>
      </c>
      <c r="D947" s="6" t="s">
        <v>1</v>
      </c>
      <c r="E947" s="6" t="s">
        <v>5</v>
      </c>
      <c r="F947" s="7">
        <v>1341</v>
      </c>
    </row>
    <row r="948" spans="1:6" ht="28" x14ac:dyDescent="0.3">
      <c r="A948" s="6" t="s">
        <v>9</v>
      </c>
      <c r="B948" s="6" t="s">
        <v>50</v>
      </c>
      <c r="C948" s="6">
        <v>2016</v>
      </c>
      <c r="D948" s="6" t="s">
        <v>1</v>
      </c>
      <c r="E948" s="6" t="s">
        <v>5</v>
      </c>
      <c r="F948" s="7">
        <v>2192</v>
      </c>
    </row>
    <row r="949" spans="1:6" ht="28" x14ac:dyDescent="0.3">
      <c r="A949" s="6" t="s">
        <v>9</v>
      </c>
      <c r="B949" s="6" t="s">
        <v>51</v>
      </c>
      <c r="C949" s="6">
        <v>2016</v>
      </c>
      <c r="D949" s="6" t="s">
        <v>1</v>
      </c>
      <c r="E949" s="6" t="s">
        <v>5</v>
      </c>
      <c r="F949" s="7">
        <v>3023</v>
      </c>
    </row>
    <row r="950" spans="1:6" ht="28" x14ac:dyDescent="0.3">
      <c r="A950" s="6" t="s">
        <v>9</v>
      </c>
      <c r="B950" s="6" t="s">
        <v>52</v>
      </c>
      <c r="C950" s="6">
        <v>2016</v>
      </c>
      <c r="D950" s="6" t="s">
        <v>1</v>
      </c>
      <c r="E950" s="6" t="s">
        <v>5</v>
      </c>
      <c r="F950" s="7">
        <v>2995</v>
      </c>
    </row>
    <row r="951" spans="1:6" ht="28" x14ac:dyDescent="0.3">
      <c r="A951" s="6" t="s">
        <v>9</v>
      </c>
      <c r="B951" s="6" t="s">
        <v>53</v>
      </c>
      <c r="C951" s="6">
        <v>2016</v>
      </c>
      <c r="D951" s="6" t="s">
        <v>1</v>
      </c>
      <c r="E951" s="6" t="s">
        <v>5</v>
      </c>
      <c r="F951" s="7">
        <v>2584</v>
      </c>
    </row>
    <row r="952" spans="1:6" ht="28" x14ac:dyDescent="0.3">
      <c r="A952" s="6" t="s">
        <v>9</v>
      </c>
      <c r="B952" s="6" t="s">
        <v>54</v>
      </c>
      <c r="C952" s="6">
        <v>2016</v>
      </c>
      <c r="D952" s="6" t="s">
        <v>1</v>
      </c>
      <c r="E952" s="6" t="s">
        <v>5</v>
      </c>
      <c r="F952" s="7">
        <v>1136</v>
      </c>
    </row>
    <row r="953" spans="1:6" ht="28" x14ac:dyDescent="0.3">
      <c r="A953" s="6" t="s">
        <v>9</v>
      </c>
      <c r="B953" s="6" t="s">
        <v>28</v>
      </c>
      <c r="C953" s="6">
        <v>2016</v>
      </c>
      <c r="D953" s="6" t="s">
        <v>1</v>
      </c>
      <c r="E953" s="6" t="s">
        <v>5</v>
      </c>
      <c r="F953" s="7">
        <v>168</v>
      </c>
    </row>
    <row r="954" spans="1:6" ht="28" x14ac:dyDescent="0.3">
      <c r="A954" s="6" t="s">
        <v>9</v>
      </c>
      <c r="B954" s="6" t="s">
        <v>55</v>
      </c>
      <c r="C954" s="6">
        <v>2016</v>
      </c>
      <c r="D954" s="6" t="s">
        <v>1</v>
      </c>
      <c r="E954" s="6" t="s">
        <v>5</v>
      </c>
      <c r="F954" s="7">
        <v>1612</v>
      </c>
    </row>
    <row r="955" spans="1:6" ht="28" x14ac:dyDescent="0.3">
      <c r="A955" s="6" t="s">
        <v>9</v>
      </c>
      <c r="B955" s="6" t="s">
        <v>56</v>
      </c>
      <c r="C955" s="6">
        <v>2016</v>
      </c>
      <c r="D955" s="6" t="s">
        <v>1</v>
      </c>
      <c r="E955" s="6" t="s">
        <v>5</v>
      </c>
      <c r="F955" s="7">
        <v>1996</v>
      </c>
    </row>
    <row r="956" spans="1:6" ht="28" x14ac:dyDescent="0.3">
      <c r="A956" s="6" t="s">
        <v>9</v>
      </c>
      <c r="B956" s="6" t="s">
        <v>57</v>
      </c>
      <c r="C956" s="6">
        <v>2016</v>
      </c>
      <c r="D956" s="6" t="s">
        <v>1</v>
      </c>
      <c r="E956" s="6" t="s">
        <v>5</v>
      </c>
      <c r="F956" s="7">
        <v>1705</v>
      </c>
    </row>
    <row r="957" spans="1:6" ht="28" x14ac:dyDescent="0.3">
      <c r="A957" s="6" t="s">
        <v>9</v>
      </c>
      <c r="B957" s="6" t="s">
        <v>58</v>
      </c>
      <c r="C957" s="6">
        <v>2016</v>
      </c>
      <c r="D957" s="6" t="s">
        <v>1</v>
      </c>
      <c r="E957" s="6" t="s">
        <v>5</v>
      </c>
      <c r="F957" s="7">
        <v>2383</v>
      </c>
    </row>
    <row r="958" spans="1:6" ht="28" x14ac:dyDescent="0.3">
      <c r="A958" s="6" t="s">
        <v>9</v>
      </c>
      <c r="B958" s="6" t="s">
        <v>29</v>
      </c>
      <c r="C958" s="6">
        <v>2016</v>
      </c>
      <c r="D958" s="6" t="s">
        <v>1</v>
      </c>
      <c r="E958" s="6" t="s">
        <v>5</v>
      </c>
      <c r="F958" s="7">
        <v>6</v>
      </c>
    </row>
    <row r="959" spans="1:6" ht="28" x14ac:dyDescent="0.3">
      <c r="A959" s="6" t="s">
        <v>9</v>
      </c>
      <c r="B959" s="6" t="s">
        <v>30</v>
      </c>
      <c r="C959" s="6">
        <v>2016</v>
      </c>
      <c r="D959" s="6" t="s">
        <v>1</v>
      </c>
      <c r="E959" s="6" t="s">
        <v>5</v>
      </c>
      <c r="F959" s="7">
        <v>41</v>
      </c>
    </row>
    <row r="960" spans="1:6" ht="28" x14ac:dyDescent="0.3">
      <c r="A960" s="6" t="s">
        <v>9</v>
      </c>
      <c r="B960" s="6" t="s">
        <v>31</v>
      </c>
      <c r="C960" s="6">
        <v>2016</v>
      </c>
      <c r="D960" s="6" t="s">
        <v>1</v>
      </c>
      <c r="E960" s="6" t="s">
        <v>5</v>
      </c>
      <c r="F960" s="7">
        <v>2136</v>
      </c>
    </row>
    <row r="961" spans="1:6" ht="28" x14ac:dyDescent="0.3">
      <c r="A961" s="6" t="s">
        <v>9</v>
      </c>
      <c r="B961" s="6" t="s">
        <v>32</v>
      </c>
      <c r="C961" s="6">
        <v>2016</v>
      </c>
      <c r="D961" s="6" t="s">
        <v>1</v>
      </c>
      <c r="E961" s="6" t="s">
        <v>5</v>
      </c>
      <c r="F961" s="7">
        <v>9</v>
      </c>
    </row>
    <row r="962" spans="1:6" ht="28" x14ac:dyDescent="0.3">
      <c r="A962" s="6" t="s">
        <v>9</v>
      </c>
      <c r="B962" s="6" t="s">
        <v>33</v>
      </c>
      <c r="C962" s="6">
        <v>2016</v>
      </c>
      <c r="D962" s="6" t="s">
        <v>1</v>
      </c>
      <c r="E962" s="6" t="s">
        <v>5</v>
      </c>
      <c r="F962" s="7">
        <v>13</v>
      </c>
    </row>
    <row r="963" spans="1:6" ht="28" x14ac:dyDescent="0.3">
      <c r="A963" s="6" t="s">
        <v>9</v>
      </c>
      <c r="B963" s="6" t="s">
        <v>34</v>
      </c>
      <c r="C963" s="6">
        <v>2016</v>
      </c>
      <c r="D963" s="6" t="s">
        <v>1</v>
      </c>
      <c r="E963" s="6" t="s">
        <v>5</v>
      </c>
      <c r="F963" s="7">
        <v>161</v>
      </c>
    </row>
    <row r="964" spans="1:6" ht="28" x14ac:dyDescent="0.3">
      <c r="A964" s="6" t="s">
        <v>10</v>
      </c>
      <c r="B964" s="6" t="s">
        <v>59</v>
      </c>
      <c r="C964" s="6">
        <v>2016</v>
      </c>
      <c r="D964" s="6" t="s">
        <v>1</v>
      </c>
      <c r="E964" s="6" t="s">
        <v>5</v>
      </c>
      <c r="F964" s="7">
        <v>457</v>
      </c>
    </row>
    <row r="965" spans="1:6" ht="28" x14ac:dyDescent="0.3">
      <c r="A965" s="6" t="s">
        <v>10</v>
      </c>
      <c r="B965" s="6" t="s">
        <v>60</v>
      </c>
      <c r="C965" s="6">
        <v>2016</v>
      </c>
      <c r="D965" s="6" t="s">
        <v>1</v>
      </c>
      <c r="E965" s="6" t="s">
        <v>5</v>
      </c>
      <c r="F965" s="7">
        <v>5</v>
      </c>
    </row>
    <row r="966" spans="1:6" ht="28" x14ac:dyDescent="0.3">
      <c r="A966" s="6" t="s">
        <v>10</v>
      </c>
      <c r="B966" s="6" t="s">
        <v>61</v>
      </c>
      <c r="C966" s="6">
        <v>2016</v>
      </c>
      <c r="D966" s="6" t="s">
        <v>1</v>
      </c>
      <c r="E966" s="6" t="s">
        <v>5</v>
      </c>
      <c r="F966" s="7">
        <v>58</v>
      </c>
    </row>
    <row r="967" spans="1:6" ht="28" x14ac:dyDescent="0.3">
      <c r="A967" s="6" t="s">
        <v>10</v>
      </c>
      <c r="B967" s="6" t="s">
        <v>62</v>
      </c>
      <c r="C967" s="6">
        <v>2016</v>
      </c>
      <c r="D967" s="6" t="s">
        <v>1</v>
      </c>
      <c r="E967" s="6" t="s">
        <v>5</v>
      </c>
      <c r="F967" s="7">
        <v>9</v>
      </c>
    </row>
    <row r="968" spans="1:6" ht="28" x14ac:dyDescent="0.3">
      <c r="A968" s="6" t="s">
        <v>10</v>
      </c>
      <c r="B968" s="6" t="s">
        <v>63</v>
      </c>
      <c r="C968" s="6">
        <v>2016</v>
      </c>
      <c r="D968" s="6" t="s">
        <v>1</v>
      </c>
      <c r="E968" s="6" t="s">
        <v>5</v>
      </c>
      <c r="F968" s="7">
        <v>148</v>
      </c>
    </row>
    <row r="969" spans="1:6" ht="28" x14ac:dyDescent="0.3">
      <c r="A969" s="6" t="s">
        <v>10</v>
      </c>
      <c r="B969" s="6" t="s">
        <v>64</v>
      </c>
      <c r="C969" s="6">
        <v>2016</v>
      </c>
      <c r="D969" s="6" t="s">
        <v>1</v>
      </c>
      <c r="E969" s="6" t="s">
        <v>5</v>
      </c>
      <c r="F969" s="7">
        <v>15</v>
      </c>
    </row>
    <row r="970" spans="1:6" ht="28" x14ac:dyDescent="0.3">
      <c r="A970" s="6" t="s">
        <v>10</v>
      </c>
      <c r="B970" s="6" t="s">
        <v>65</v>
      </c>
      <c r="C970" s="6">
        <v>2016</v>
      </c>
      <c r="D970" s="6" t="s">
        <v>1</v>
      </c>
      <c r="E970" s="6" t="s">
        <v>5</v>
      </c>
      <c r="F970" s="7">
        <v>801</v>
      </c>
    </row>
    <row r="971" spans="1:6" ht="28" x14ac:dyDescent="0.3">
      <c r="A971" s="6" t="s">
        <v>10</v>
      </c>
      <c r="B971" s="6" t="s">
        <v>66</v>
      </c>
      <c r="C971" s="6">
        <v>2016</v>
      </c>
      <c r="D971" s="6" t="s">
        <v>1</v>
      </c>
      <c r="E971" s="6" t="s">
        <v>5</v>
      </c>
      <c r="F971" s="7">
        <v>28</v>
      </c>
    </row>
    <row r="972" spans="1:6" ht="28" x14ac:dyDescent="0.3">
      <c r="A972" s="6" t="s">
        <v>11</v>
      </c>
      <c r="B972" s="6" t="s">
        <v>67</v>
      </c>
      <c r="C972" s="6">
        <v>2016</v>
      </c>
      <c r="D972" s="6" t="s">
        <v>1</v>
      </c>
      <c r="E972" s="6" t="s">
        <v>5</v>
      </c>
      <c r="F972" s="7">
        <v>32</v>
      </c>
    </row>
    <row r="973" spans="1:6" ht="28" x14ac:dyDescent="0.3">
      <c r="A973" s="6" t="s">
        <v>11</v>
      </c>
      <c r="B973" s="6" t="s">
        <v>76</v>
      </c>
      <c r="C973" s="6">
        <v>2016</v>
      </c>
      <c r="D973" s="6" t="s">
        <v>1</v>
      </c>
      <c r="E973" s="6" t="s">
        <v>5</v>
      </c>
      <c r="F973" s="7">
        <v>96</v>
      </c>
    </row>
    <row r="974" spans="1:6" ht="28" x14ac:dyDescent="0.3">
      <c r="A974" s="6" t="s">
        <v>11</v>
      </c>
      <c r="B974" s="6" t="s">
        <v>77</v>
      </c>
      <c r="C974" s="6">
        <v>2016</v>
      </c>
      <c r="D974" s="6" t="s">
        <v>1</v>
      </c>
      <c r="E974" s="6" t="s">
        <v>5</v>
      </c>
      <c r="F974" s="7">
        <v>49</v>
      </c>
    </row>
    <row r="975" spans="1:6" ht="28" x14ac:dyDescent="0.3">
      <c r="A975" s="6" t="s">
        <v>11</v>
      </c>
      <c r="B975" s="6" t="s">
        <v>78</v>
      </c>
      <c r="C975" s="6">
        <v>2016</v>
      </c>
      <c r="D975" s="6" t="s">
        <v>1</v>
      </c>
      <c r="E975" s="6" t="s">
        <v>5</v>
      </c>
      <c r="F975" s="7">
        <v>28</v>
      </c>
    </row>
    <row r="976" spans="1:6" ht="28" x14ac:dyDescent="0.3">
      <c r="A976" s="6" t="s">
        <v>11</v>
      </c>
      <c r="B976" s="6" t="s">
        <v>79</v>
      </c>
      <c r="C976" s="6">
        <v>2016</v>
      </c>
      <c r="D976" s="6" t="s">
        <v>1</v>
      </c>
      <c r="E976" s="6" t="s">
        <v>5</v>
      </c>
      <c r="F976" s="7">
        <v>13</v>
      </c>
    </row>
    <row r="977" spans="1:6" ht="28" x14ac:dyDescent="0.3">
      <c r="A977" s="6" t="s">
        <v>11</v>
      </c>
      <c r="B977" s="6" t="s">
        <v>80</v>
      </c>
      <c r="C977" s="6">
        <v>2016</v>
      </c>
      <c r="D977" s="6" t="s">
        <v>1</v>
      </c>
      <c r="E977" s="6" t="s">
        <v>5</v>
      </c>
      <c r="F977" s="7">
        <v>29</v>
      </c>
    </row>
    <row r="978" spans="1:6" ht="28" x14ac:dyDescent="0.3">
      <c r="A978" s="6" t="s">
        <v>11</v>
      </c>
      <c r="B978" s="6" t="s">
        <v>68</v>
      </c>
      <c r="C978" s="6">
        <v>2016</v>
      </c>
      <c r="D978" s="6" t="s">
        <v>1</v>
      </c>
      <c r="E978" s="6" t="s">
        <v>5</v>
      </c>
      <c r="F978" s="7">
        <v>5</v>
      </c>
    </row>
    <row r="979" spans="1:6" ht="28" x14ac:dyDescent="0.3">
      <c r="A979" s="6" t="s">
        <v>11</v>
      </c>
      <c r="B979" s="6" t="s">
        <v>69</v>
      </c>
      <c r="C979" s="6">
        <v>2016</v>
      </c>
      <c r="D979" s="6" t="s">
        <v>1</v>
      </c>
      <c r="E979" s="6" t="s">
        <v>5</v>
      </c>
      <c r="F979" s="7">
        <v>405</v>
      </c>
    </row>
    <row r="980" spans="1:6" ht="28" x14ac:dyDescent="0.3">
      <c r="A980" s="6" t="s">
        <v>11</v>
      </c>
      <c r="B980" s="6" t="s">
        <v>70</v>
      </c>
      <c r="C980" s="6">
        <v>2016</v>
      </c>
      <c r="D980" s="6" t="s">
        <v>1</v>
      </c>
      <c r="E980" s="6" t="s">
        <v>5</v>
      </c>
      <c r="F980" s="7">
        <v>9</v>
      </c>
    </row>
    <row r="981" spans="1:6" ht="28" x14ac:dyDescent="0.3">
      <c r="A981" s="6" t="s">
        <v>11</v>
      </c>
      <c r="B981" s="6" t="s">
        <v>71</v>
      </c>
      <c r="C981" s="6">
        <v>2016</v>
      </c>
      <c r="D981" s="6" t="s">
        <v>1</v>
      </c>
      <c r="E981" s="6" t="s">
        <v>5</v>
      </c>
      <c r="F981" s="7">
        <v>5</v>
      </c>
    </row>
    <row r="982" spans="1:6" ht="28" x14ac:dyDescent="0.3">
      <c r="A982" s="6" t="s">
        <v>11</v>
      </c>
      <c r="B982" s="6" t="s">
        <v>72</v>
      </c>
      <c r="C982" s="6">
        <v>2016</v>
      </c>
      <c r="D982" s="6" t="s">
        <v>1</v>
      </c>
      <c r="E982" s="6" t="s">
        <v>5</v>
      </c>
      <c r="F982" s="7">
        <v>238</v>
      </c>
    </row>
    <row r="983" spans="1:6" ht="28" x14ac:dyDescent="0.3">
      <c r="A983" s="6" t="s">
        <v>11</v>
      </c>
      <c r="B983" s="6" t="s">
        <v>73</v>
      </c>
      <c r="C983" s="6">
        <v>2016</v>
      </c>
      <c r="D983" s="6" t="s">
        <v>1</v>
      </c>
      <c r="E983" s="6" t="s">
        <v>5</v>
      </c>
      <c r="F983" s="7">
        <v>54</v>
      </c>
    </row>
    <row r="984" spans="1:6" ht="28" x14ac:dyDescent="0.3">
      <c r="A984" s="6" t="s">
        <v>11</v>
      </c>
      <c r="B984" s="6" t="s">
        <v>74</v>
      </c>
      <c r="C984" s="6">
        <v>2016</v>
      </c>
      <c r="D984" s="6" t="s">
        <v>1</v>
      </c>
      <c r="E984" s="6" t="s">
        <v>5</v>
      </c>
      <c r="F984" s="7">
        <v>30</v>
      </c>
    </row>
    <row r="985" spans="1:6" ht="28" x14ac:dyDescent="0.3">
      <c r="A985" s="6" t="s">
        <v>11</v>
      </c>
      <c r="B985" s="6" t="s">
        <v>75</v>
      </c>
      <c r="C985" s="6">
        <v>2016</v>
      </c>
      <c r="D985" s="6" t="s">
        <v>1</v>
      </c>
      <c r="E985" s="6" t="s">
        <v>5</v>
      </c>
      <c r="F985" s="7">
        <v>1818</v>
      </c>
    </row>
    <row r="986" spans="1:6" ht="28" x14ac:dyDescent="0.3">
      <c r="A986" s="6" t="s">
        <v>12</v>
      </c>
      <c r="B986" s="6" t="s">
        <v>81</v>
      </c>
      <c r="C986" s="6">
        <v>2016</v>
      </c>
      <c r="D986" s="6" t="s">
        <v>1</v>
      </c>
      <c r="E986" s="6" t="s">
        <v>5</v>
      </c>
      <c r="F986" s="7">
        <v>58</v>
      </c>
    </row>
    <row r="987" spans="1:6" ht="28" x14ac:dyDescent="0.3">
      <c r="A987" s="6" t="s">
        <v>12</v>
      </c>
      <c r="B987" s="6" t="s">
        <v>82</v>
      </c>
      <c r="C987" s="6">
        <v>2016</v>
      </c>
      <c r="D987" s="6" t="s">
        <v>1</v>
      </c>
      <c r="E987" s="6" t="s">
        <v>5</v>
      </c>
      <c r="F987" s="7">
        <v>94</v>
      </c>
    </row>
    <row r="988" spans="1:6" ht="28" x14ac:dyDescent="0.3">
      <c r="A988" s="6" t="s">
        <v>12</v>
      </c>
      <c r="B988" s="6" t="s">
        <v>83</v>
      </c>
      <c r="C988" s="6">
        <v>2016</v>
      </c>
      <c r="D988" s="6" t="s">
        <v>1</v>
      </c>
      <c r="E988" s="6" t="s">
        <v>5</v>
      </c>
      <c r="F988" s="7">
        <v>103</v>
      </c>
    </row>
    <row r="989" spans="1:6" ht="28" x14ac:dyDescent="0.3">
      <c r="A989" s="6" t="s">
        <v>12</v>
      </c>
      <c r="B989" s="6" t="s">
        <v>84</v>
      </c>
      <c r="C989" s="6">
        <v>2016</v>
      </c>
      <c r="D989" s="6" t="s">
        <v>1</v>
      </c>
      <c r="E989" s="6" t="s">
        <v>5</v>
      </c>
      <c r="F989" s="7">
        <v>14</v>
      </c>
    </row>
    <row r="990" spans="1:6" ht="28" x14ac:dyDescent="0.3">
      <c r="A990" s="6" t="s">
        <v>12</v>
      </c>
      <c r="B990" s="6" t="s">
        <v>85</v>
      </c>
      <c r="C990" s="6">
        <v>2016</v>
      </c>
      <c r="D990" s="6" t="s">
        <v>1</v>
      </c>
      <c r="E990" s="6" t="s">
        <v>5</v>
      </c>
      <c r="F990" s="7">
        <v>567</v>
      </c>
    </row>
    <row r="991" spans="1:6" ht="28" x14ac:dyDescent="0.3">
      <c r="A991" s="6" t="s">
        <v>12</v>
      </c>
      <c r="B991" s="6" t="s">
        <v>86</v>
      </c>
      <c r="C991" s="6">
        <v>2016</v>
      </c>
      <c r="D991" s="6" t="s">
        <v>1</v>
      </c>
      <c r="E991" s="6" t="s">
        <v>5</v>
      </c>
      <c r="F991" s="7">
        <v>17</v>
      </c>
    </row>
    <row r="992" spans="1:6" ht="28" x14ac:dyDescent="0.3">
      <c r="A992" s="6" t="s">
        <v>12</v>
      </c>
      <c r="B992" s="6" t="s">
        <v>87</v>
      </c>
      <c r="C992" s="6">
        <v>2016</v>
      </c>
      <c r="D992" s="6" t="s">
        <v>1</v>
      </c>
      <c r="E992" s="6" t="s">
        <v>5</v>
      </c>
      <c r="F992" s="7">
        <v>88</v>
      </c>
    </row>
    <row r="993" spans="1:6" ht="28" x14ac:dyDescent="0.3">
      <c r="A993" s="6" t="s">
        <v>12</v>
      </c>
      <c r="B993" s="6" t="s">
        <v>88</v>
      </c>
      <c r="C993" s="6">
        <v>2016</v>
      </c>
      <c r="D993" s="6" t="s">
        <v>1</v>
      </c>
      <c r="E993" s="6" t="s">
        <v>5</v>
      </c>
      <c r="F993" s="7">
        <v>140</v>
      </c>
    </row>
    <row r="994" spans="1:6" ht="28" x14ac:dyDescent="0.3">
      <c r="A994" s="6" t="s">
        <v>13</v>
      </c>
      <c r="B994" s="6" t="s">
        <v>89</v>
      </c>
      <c r="C994" s="6">
        <v>2016</v>
      </c>
      <c r="D994" s="6" t="s">
        <v>1</v>
      </c>
      <c r="E994" s="6" t="s">
        <v>5</v>
      </c>
      <c r="F994" s="7">
        <v>6</v>
      </c>
    </row>
    <row r="995" spans="1:6" ht="28" x14ac:dyDescent="0.3">
      <c r="A995" s="6" t="s">
        <v>13</v>
      </c>
      <c r="B995" s="6" t="s">
        <v>98</v>
      </c>
      <c r="C995" s="6">
        <v>2016</v>
      </c>
      <c r="D995" s="6" t="s">
        <v>1</v>
      </c>
      <c r="E995" s="6" t="s">
        <v>5</v>
      </c>
      <c r="F995" s="7">
        <v>10</v>
      </c>
    </row>
    <row r="996" spans="1:6" ht="28" x14ac:dyDescent="0.3">
      <c r="A996" s="6" t="s">
        <v>13</v>
      </c>
      <c r="B996" s="6" t="s">
        <v>99</v>
      </c>
      <c r="C996" s="6">
        <v>2016</v>
      </c>
      <c r="D996" s="6" t="s">
        <v>1</v>
      </c>
      <c r="E996" s="6" t="s">
        <v>5</v>
      </c>
      <c r="F996" s="7">
        <v>18</v>
      </c>
    </row>
    <row r="997" spans="1:6" ht="28" x14ac:dyDescent="0.3">
      <c r="A997" s="6" t="s">
        <v>13</v>
      </c>
      <c r="B997" s="6" t="s">
        <v>90</v>
      </c>
      <c r="C997" s="6">
        <v>2016</v>
      </c>
      <c r="D997" s="6" t="s">
        <v>1</v>
      </c>
      <c r="E997" s="6" t="s">
        <v>5</v>
      </c>
      <c r="F997" s="7">
        <v>70</v>
      </c>
    </row>
    <row r="998" spans="1:6" ht="28" x14ac:dyDescent="0.3">
      <c r="A998" s="6" t="s">
        <v>13</v>
      </c>
      <c r="B998" s="6" t="s">
        <v>91</v>
      </c>
      <c r="C998" s="6">
        <v>2016</v>
      </c>
      <c r="D998" s="6" t="s">
        <v>1</v>
      </c>
      <c r="E998" s="6" t="s">
        <v>5</v>
      </c>
      <c r="F998" s="7">
        <v>13</v>
      </c>
    </row>
    <row r="999" spans="1:6" ht="28" x14ac:dyDescent="0.3">
      <c r="A999" s="6" t="s">
        <v>13</v>
      </c>
      <c r="B999" s="6" t="s">
        <v>92</v>
      </c>
      <c r="C999" s="6">
        <v>2016</v>
      </c>
      <c r="D999" s="6" t="s">
        <v>1</v>
      </c>
      <c r="E999" s="6" t="s">
        <v>5</v>
      </c>
      <c r="F999" s="7">
        <v>27</v>
      </c>
    </row>
    <row r="1000" spans="1:6" ht="28" x14ac:dyDescent="0.3">
      <c r="A1000" s="6" t="s">
        <v>13</v>
      </c>
      <c r="B1000" s="6" t="s">
        <v>93</v>
      </c>
      <c r="C1000" s="6">
        <v>2016</v>
      </c>
      <c r="D1000" s="6" t="s">
        <v>1</v>
      </c>
      <c r="E1000" s="6" t="s">
        <v>5</v>
      </c>
      <c r="F1000" s="7">
        <v>10</v>
      </c>
    </row>
    <row r="1001" spans="1:6" ht="28" x14ac:dyDescent="0.3">
      <c r="A1001" s="6" t="s">
        <v>13</v>
      </c>
      <c r="B1001" s="6" t="s">
        <v>94</v>
      </c>
      <c r="C1001" s="6">
        <v>2016</v>
      </c>
      <c r="D1001" s="6" t="s">
        <v>1</v>
      </c>
      <c r="E1001" s="6" t="s">
        <v>5</v>
      </c>
      <c r="F1001" s="7">
        <v>6</v>
      </c>
    </row>
    <row r="1002" spans="1:6" ht="28" x14ac:dyDescent="0.3">
      <c r="A1002" s="6" t="s">
        <v>13</v>
      </c>
      <c r="B1002" s="6" t="s">
        <v>95</v>
      </c>
      <c r="C1002" s="6">
        <v>2016</v>
      </c>
      <c r="D1002" s="6" t="s">
        <v>1</v>
      </c>
      <c r="E1002" s="6" t="s">
        <v>5</v>
      </c>
      <c r="F1002" s="7">
        <v>7</v>
      </c>
    </row>
    <row r="1003" spans="1:6" ht="28" x14ac:dyDescent="0.3">
      <c r="A1003" s="6" t="s">
        <v>13</v>
      </c>
      <c r="B1003" s="6" t="s">
        <v>96</v>
      </c>
      <c r="C1003" s="6">
        <v>2016</v>
      </c>
      <c r="D1003" s="6" t="s">
        <v>1</v>
      </c>
      <c r="E1003" s="6" t="s">
        <v>5</v>
      </c>
      <c r="F1003" s="7">
        <v>76</v>
      </c>
    </row>
    <row r="1004" spans="1:6" ht="28" x14ac:dyDescent="0.3">
      <c r="A1004" s="6" t="s">
        <v>13</v>
      </c>
      <c r="B1004" s="6" t="s">
        <v>97</v>
      </c>
      <c r="C1004" s="6">
        <v>2016</v>
      </c>
      <c r="D1004" s="6" t="s">
        <v>1</v>
      </c>
      <c r="E1004" s="6" t="s">
        <v>5</v>
      </c>
      <c r="F1004" s="7">
        <v>37</v>
      </c>
    </row>
    <row r="1005" spans="1:6" ht="28" x14ac:dyDescent="0.3">
      <c r="A1005" s="6" t="s">
        <v>14</v>
      </c>
      <c r="B1005" s="6" t="s">
        <v>100</v>
      </c>
      <c r="C1005" s="6">
        <v>2016</v>
      </c>
      <c r="D1005" s="6" t="s">
        <v>1</v>
      </c>
      <c r="E1005" s="6" t="s">
        <v>5</v>
      </c>
      <c r="F1005" s="7">
        <v>116</v>
      </c>
    </row>
    <row r="1006" spans="1:6" ht="28" x14ac:dyDescent="0.3">
      <c r="A1006" s="6" t="s">
        <v>14</v>
      </c>
      <c r="B1006" s="6" t="s">
        <v>101</v>
      </c>
      <c r="C1006" s="6">
        <v>2016</v>
      </c>
      <c r="D1006" s="6" t="s">
        <v>1</v>
      </c>
      <c r="E1006" s="6" t="s">
        <v>5</v>
      </c>
      <c r="F1006" s="7">
        <v>26</v>
      </c>
    </row>
    <row r="1007" spans="1:6" ht="28" x14ac:dyDescent="0.3">
      <c r="A1007" s="6" t="s">
        <v>14</v>
      </c>
      <c r="B1007" s="6" t="s">
        <v>102</v>
      </c>
      <c r="C1007" s="6">
        <v>2016</v>
      </c>
      <c r="D1007" s="6" t="s">
        <v>1</v>
      </c>
      <c r="E1007" s="6" t="s">
        <v>5</v>
      </c>
      <c r="F1007" s="7">
        <v>833</v>
      </c>
    </row>
    <row r="1008" spans="1:6" ht="28" x14ac:dyDescent="0.3">
      <c r="A1008" s="6" t="s">
        <v>14</v>
      </c>
      <c r="B1008" s="6" t="s">
        <v>103</v>
      </c>
      <c r="C1008" s="6">
        <v>2016</v>
      </c>
      <c r="D1008" s="6" t="s">
        <v>1</v>
      </c>
      <c r="E1008" s="6" t="s">
        <v>5</v>
      </c>
      <c r="F1008" s="7">
        <v>70</v>
      </c>
    </row>
    <row r="1009" spans="1:6" ht="28" x14ac:dyDescent="0.3">
      <c r="A1009" s="6" t="s">
        <v>14</v>
      </c>
      <c r="B1009" s="6" t="s">
        <v>104</v>
      </c>
      <c r="C1009" s="6">
        <v>2016</v>
      </c>
      <c r="D1009" s="6" t="s">
        <v>1</v>
      </c>
      <c r="E1009" s="6" t="s">
        <v>5</v>
      </c>
      <c r="F1009" s="7">
        <v>201</v>
      </c>
    </row>
    <row r="1010" spans="1:6" ht="28" x14ac:dyDescent="0.3">
      <c r="A1010" s="6" t="s">
        <v>14</v>
      </c>
      <c r="B1010" s="6" t="s">
        <v>105</v>
      </c>
      <c r="C1010" s="6">
        <v>2016</v>
      </c>
      <c r="D1010" s="6" t="s">
        <v>1</v>
      </c>
      <c r="E1010" s="6" t="s">
        <v>5</v>
      </c>
      <c r="F1010" s="7">
        <v>190</v>
      </c>
    </row>
    <row r="1011" spans="1:6" ht="28" x14ac:dyDescent="0.3">
      <c r="A1011" s="6" t="s">
        <v>15</v>
      </c>
      <c r="B1011" s="6" t="s">
        <v>106</v>
      </c>
      <c r="C1011" s="6">
        <v>2016</v>
      </c>
      <c r="D1011" s="6" t="s">
        <v>1</v>
      </c>
      <c r="E1011" s="6" t="s">
        <v>5</v>
      </c>
      <c r="F1011" s="7">
        <v>49</v>
      </c>
    </row>
    <row r="1012" spans="1:6" ht="28" x14ac:dyDescent="0.3">
      <c r="A1012" s="6" t="s">
        <v>15</v>
      </c>
      <c r="B1012" s="6" t="s">
        <v>107</v>
      </c>
      <c r="C1012" s="6">
        <v>2016</v>
      </c>
      <c r="D1012" s="6" t="s">
        <v>1</v>
      </c>
      <c r="E1012" s="6" t="s">
        <v>5</v>
      </c>
      <c r="F1012" s="7">
        <v>169</v>
      </c>
    </row>
    <row r="1013" spans="1:6" ht="28" x14ac:dyDescent="0.3">
      <c r="A1013" s="6" t="s">
        <v>15</v>
      </c>
      <c r="B1013" s="6" t="s">
        <v>108</v>
      </c>
      <c r="C1013" s="6">
        <v>2016</v>
      </c>
      <c r="D1013" s="6" t="s">
        <v>1</v>
      </c>
      <c r="E1013" s="6" t="s">
        <v>5</v>
      </c>
      <c r="F1013" s="7">
        <v>43</v>
      </c>
    </row>
    <row r="1014" spans="1:6" ht="28" x14ac:dyDescent="0.3">
      <c r="A1014" s="6" t="s">
        <v>6</v>
      </c>
      <c r="B1014" s="6" t="s">
        <v>17</v>
      </c>
      <c r="C1014" s="6">
        <v>2016</v>
      </c>
      <c r="D1014" s="6" t="s">
        <v>1</v>
      </c>
      <c r="E1014" s="6" t="s">
        <v>4</v>
      </c>
      <c r="F1014" s="7">
        <v>7</v>
      </c>
    </row>
    <row r="1015" spans="1:6" ht="28" x14ac:dyDescent="0.3">
      <c r="A1015" s="6" t="s">
        <v>6</v>
      </c>
      <c r="B1015" s="6" t="s">
        <v>18</v>
      </c>
      <c r="C1015" s="6">
        <v>2016</v>
      </c>
      <c r="D1015" s="6" t="s">
        <v>1</v>
      </c>
      <c r="E1015" s="6" t="s">
        <v>4</v>
      </c>
      <c r="F1015" s="7">
        <v>1724</v>
      </c>
    </row>
    <row r="1016" spans="1:6" ht="28" x14ac:dyDescent="0.3">
      <c r="A1016" s="6" t="s">
        <v>6</v>
      </c>
      <c r="B1016" s="6" t="s">
        <v>19</v>
      </c>
      <c r="C1016" s="6">
        <v>2016</v>
      </c>
      <c r="D1016" s="6" t="s">
        <v>1</v>
      </c>
      <c r="E1016" s="6" t="s">
        <v>4</v>
      </c>
      <c r="F1016" s="7">
        <v>1377</v>
      </c>
    </row>
    <row r="1017" spans="1:6" ht="28" x14ac:dyDescent="0.3">
      <c r="A1017" s="6" t="s">
        <v>6</v>
      </c>
      <c r="B1017" s="6" t="s">
        <v>20</v>
      </c>
      <c r="C1017" s="6">
        <v>2016</v>
      </c>
      <c r="D1017" s="6" t="s">
        <v>1</v>
      </c>
      <c r="E1017" s="6" t="s">
        <v>4</v>
      </c>
      <c r="F1017" s="7">
        <v>2474</v>
      </c>
    </row>
    <row r="1018" spans="1:6" ht="28" x14ac:dyDescent="0.3">
      <c r="A1018" s="6" t="s">
        <v>7</v>
      </c>
      <c r="B1018" s="6" t="s">
        <v>21</v>
      </c>
      <c r="C1018" s="6">
        <v>2016</v>
      </c>
      <c r="D1018" s="6" t="s">
        <v>1</v>
      </c>
      <c r="E1018" s="6" t="s">
        <v>4</v>
      </c>
      <c r="F1018" s="7">
        <v>717</v>
      </c>
    </row>
    <row r="1019" spans="1:6" ht="28" x14ac:dyDescent="0.3">
      <c r="A1019" s="6" t="s">
        <v>7</v>
      </c>
      <c r="B1019" s="6" t="s">
        <v>22</v>
      </c>
      <c r="C1019" s="6">
        <v>2016</v>
      </c>
      <c r="D1019" s="6" t="s">
        <v>1</v>
      </c>
      <c r="E1019" s="6" t="s">
        <v>4</v>
      </c>
      <c r="F1019" s="7">
        <v>6</v>
      </c>
    </row>
    <row r="1020" spans="1:6" ht="28" x14ac:dyDescent="0.3">
      <c r="A1020" s="6" t="s">
        <v>7</v>
      </c>
      <c r="B1020" s="6" t="s">
        <v>23</v>
      </c>
      <c r="C1020" s="6">
        <v>2016</v>
      </c>
      <c r="D1020" s="6" t="s">
        <v>1</v>
      </c>
      <c r="E1020" s="6" t="s">
        <v>4</v>
      </c>
      <c r="F1020" s="7">
        <v>5</v>
      </c>
    </row>
    <row r="1021" spans="1:6" ht="28" x14ac:dyDescent="0.3">
      <c r="A1021" s="6" t="s">
        <v>8</v>
      </c>
      <c r="B1021" s="6" t="s">
        <v>24</v>
      </c>
      <c r="C1021" s="6">
        <v>2016</v>
      </c>
      <c r="D1021" s="6" t="s">
        <v>1</v>
      </c>
      <c r="E1021" s="6" t="s">
        <v>4</v>
      </c>
      <c r="F1021" s="7">
        <v>96</v>
      </c>
    </row>
    <row r="1022" spans="1:6" ht="28" x14ac:dyDescent="0.3">
      <c r="A1022" s="6" t="s">
        <v>8</v>
      </c>
      <c r="B1022" s="6" t="s">
        <v>25</v>
      </c>
      <c r="C1022" s="6">
        <v>2016</v>
      </c>
      <c r="D1022" s="6" t="s">
        <v>1</v>
      </c>
      <c r="E1022" s="6" t="s">
        <v>4</v>
      </c>
      <c r="F1022" s="7">
        <v>110</v>
      </c>
    </row>
    <row r="1023" spans="1:6" ht="28" x14ac:dyDescent="0.3">
      <c r="A1023" s="6" t="s">
        <v>9</v>
      </c>
      <c r="B1023" s="6" t="s">
        <v>26</v>
      </c>
      <c r="C1023" s="6">
        <v>2016</v>
      </c>
      <c r="D1023" s="6" t="s">
        <v>1</v>
      </c>
      <c r="E1023" s="6" t="s">
        <v>4</v>
      </c>
      <c r="F1023" s="7">
        <v>7</v>
      </c>
    </row>
    <row r="1024" spans="1:6" ht="28" x14ac:dyDescent="0.3">
      <c r="A1024" s="6" t="s">
        <v>9</v>
      </c>
      <c r="B1024" s="6" t="s">
        <v>35</v>
      </c>
      <c r="C1024" s="6">
        <v>2016</v>
      </c>
      <c r="D1024" s="6" t="s">
        <v>1</v>
      </c>
      <c r="E1024" s="6" t="s">
        <v>4</v>
      </c>
      <c r="F1024" s="7">
        <v>5</v>
      </c>
    </row>
    <row r="1025" spans="1:6" ht="28" x14ac:dyDescent="0.3">
      <c r="A1025" s="6" t="s">
        <v>9</v>
      </c>
      <c r="B1025" s="6" t="s">
        <v>36</v>
      </c>
      <c r="C1025" s="6">
        <v>2016</v>
      </c>
      <c r="D1025" s="6" t="s">
        <v>1</v>
      </c>
      <c r="E1025" s="6" t="s">
        <v>4</v>
      </c>
      <c r="F1025" s="7">
        <v>11</v>
      </c>
    </row>
    <row r="1026" spans="1:6" ht="28" x14ac:dyDescent="0.3">
      <c r="A1026" s="6" t="s">
        <v>9</v>
      </c>
      <c r="B1026" s="6" t="s">
        <v>37</v>
      </c>
      <c r="C1026" s="6">
        <v>2016</v>
      </c>
      <c r="D1026" s="6" t="s">
        <v>1</v>
      </c>
      <c r="E1026" s="6" t="s">
        <v>4</v>
      </c>
      <c r="F1026" s="7">
        <v>5</v>
      </c>
    </row>
    <row r="1027" spans="1:6" ht="28" x14ac:dyDescent="0.3">
      <c r="A1027" s="6" t="s">
        <v>9</v>
      </c>
      <c r="B1027" s="6" t="s">
        <v>38</v>
      </c>
      <c r="C1027" s="6">
        <v>2016</v>
      </c>
      <c r="D1027" s="6" t="s">
        <v>1</v>
      </c>
      <c r="E1027" s="6" t="s">
        <v>4</v>
      </c>
      <c r="F1027" s="7">
        <v>197</v>
      </c>
    </row>
    <row r="1028" spans="1:6" ht="28" x14ac:dyDescent="0.3">
      <c r="A1028" s="6" t="s">
        <v>9</v>
      </c>
      <c r="B1028" s="6" t="s">
        <v>39</v>
      </c>
      <c r="C1028" s="6">
        <v>2016</v>
      </c>
      <c r="D1028" s="6" t="s">
        <v>1</v>
      </c>
      <c r="E1028" s="6" t="s">
        <v>4</v>
      </c>
      <c r="F1028" s="7">
        <v>5</v>
      </c>
    </row>
    <row r="1029" spans="1:6" ht="28" x14ac:dyDescent="0.3">
      <c r="A1029" s="6" t="s">
        <v>9</v>
      </c>
      <c r="B1029" s="6" t="s">
        <v>40</v>
      </c>
      <c r="C1029" s="6">
        <v>2016</v>
      </c>
      <c r="D1029" s="6" t="s">
        <v>1</v>
      </c>
      <c r="E1029" s="6" t="s">
        <v>4</v>
      </c>
      <c r="F1029" s="7">
        <v>6</v>
      </c>
    </row>
    <row r="1030" spans="1:6" ht="28" x14ac:dyDescent="0.3">
      <c r="A1030" s="6" t="s">
        <v>9</v>
      </c>
      <c r="B1030" s="6" t="s">
        <v>41</v>
      </c>
      <c r="C1030" s="6">
        <v>2016</v>
      </c>
      <c r="D1030" s="6" t="s">
        <v>1</v>
      </c>
      <c r="E1030" s="6" t="s">
        <v>4</v>
      </c>
      <c r="F1030" s="7">
        <v>394</v>
      </c>
    </row>
    <row r="1031" spans="1:6" ht="28" x14ac:dyDescent="0.3">
      <c r="A1031" s="6" t="s">
        <v>9</v>
      </c>
      <c r="B1031" s="6" t="s">
        <v>42</v>
      </c>
      <c r="C1031" s="6">
        <v>2016</v>
      </c>
      <c r="D1031" s="6" t="s">
        <v>1</v>
      </c>
      <c r="E1031" s="6" t="s">
        <v>4</v>
      </c>
      <c r="F1031" s="7">
        <v>571</v>
      </c>
    </row>
    <row r="1032" spans="1:6" ht="28" x14ac:dyDescent="0.3">
      <c r="A1032" s="6" t="s">
        <v>9</v>
      </c>
      <c r="B1032" s="6" t="s">
        <v>43</v>
      </c>
      <c r="C1032" s="6">
        <v>2016</v>
      </c>
      <c r="D1032" s="6" t="s">
        <v>1</v>
      </c>
      <c r="E1032" s="6" t="s">
        <v>4</v>
      </c>
      <c r="F1032" s="7">
        <v>262</v>
      </c>
    </row>
    <row r="1033" spans="1:6" ht="28" x14ac:dyDescent="0.3">
      <c r="A1033" s="6" t="s">
        <v>9</v>
      </c>
      <c r="B1033" s="6" t="s">
        <v>44</v>
      </c>
      <c r="C1033" s="6">
        <v>2016</v>
      </c>
      <c r="D1033" s="6" t="s">
        <v>1</v>
      </c>
      <c r="E1033" s="6" t="s">
        <v>4</v>
      </c>
      <c r="F1033" s="7">
        <v>83</v>
      </c>
    </row>
    <row r="1034" spans="1:6" ht="28" x14ac:dyDescent="0.3">
      <c r="A1034" s="6" t="s">
        <v>9</v>
      </c>
      <c r="B1034" s="6" t="s">
        <v>27</v>
      </c>
      <c r="C1034" s="6">
        <v>2016</v>
      </c>
      <c r="D1034" s="6" t="s">
        <v>1</v>
      </c>
      <c r="E1034" s="6" t="s">
        <v>4</v>
      </c>
      <c r="F1034" s="7">
        <v>44</v>
      </c>
    </row>
    <row r="1035" spans="1:6" ht="28" x14ac:dyDescent="0.3">
      <c r="A1035" s="6" t="s">
        <v>9</v>
      </c>
      <c r="B1035" s="6" t="s">
        <v>45</v>
      </c>
      <c r="C1035" s="6">
        <v>2016</v>
      </c>
      <c r="D1035" s="6" t="s">
        <v>1</v>
      </c>
      <c r="E1035" s="6" t="s">
        <v>4</v>
      </c>
      <c r="F1035" s="7">
        <v>6</v>
      </c>
    </row>
    <row r="1036" spans="1:6" ht="28" x14ac:dyDescent="0.3">
      <c r="A1036" s="6" t="s">
        <v>9</v>
      </c>
      <c r="B1036" s="6" t="s">
        <v>46</v>
      </c>
      <c r="C1036" s="6">
        <v>2016</v>
      </c>
      <c r="D1036" s="6" t="s">
        <v>1</v>
      </c>
      <c r="E1036" s="6" t="s">
        <v>4</v>
      </c>
      <c r="F1036" s="7">
        <v>249</v>
      </c>
    </row>
    <row r="1037" spans="1:6" ht="28" x14ac:dyDescent="0.3">
      <c r="A1037" s="6" t="s">
        <v>9</v>
      </c>
      <c r="B1037" s="6" t="s">
        <v>47</v>
      </c>
      <c r="C1037" s="6">
        <v>2016</v>
      </c>
      <c r="D1037" s="6" t="s">
        <v>1</v>
      </c>
      <c r="E1037" s="6" t="s">
        <v>4</v>
      </c>
      <c r="F1037" s="7">
        <v>6</v>
      </c>
    </row>
    <row r="1038" spans="1:6" ht="28" x14ac:dyDescent="0.3">
      <c r="A1038" s="6" t="s">
        <v>9</v>
      </c>
      <c r="B1038" s="6" t="s">
        <v>48</v>
      </c>
      <c r="C1038" s="6">
        <v>2016</v>
      </c>
      <c r="D1038" s="6" t="s">
        <v>1</v>
      </c>
      <c r="E1038" s="6" t="s">
        <v>4</v>
      </c>
      <c r="F1038" s="7">
        <v>85</v>
      </c>
    </row>
    <row r="1039" spans="1:6" ht="28" x14ac:dyDescent="0.3">
      <c r="A1039" s="6" t="s">
        <v>9</v>
      </c>
      <c r="B1039" s="6" t="s">
        <v>49</v>
      </c>
      <c r="C1039" s="6">
        <v>2016</v>
      </c>
      <c r="D1039" s="6" t="s">
        <v>1</v>
      </c>
      <c r="E1039" s="6" t="s">
        <v>4</v>
      </c>
      <c r="F1039" s="7">
        <v>200</v>
      </c>
    </row>
    <row r="1040" spans="1:6" ht="28" x14ac:dyDescent="0.3">
      <c r="A1040" s="6" t="s">
        <v>9</v>
      </c>
      <c r="B1040" s="6" t="s">
        <v>50</v>
      </c>
      <c r="C1040" s="6">
        <v>2016</v>
      </c>
      <c r="D1040" s="6" t="s">
        <v>1</v>
      </c>
      <c r="E1040" s="6" t="s">
        <v>4</v>
      </c>
      <c r="F1040" s="7">
        <v>400</v>
      </c>
    </row>
    <row r="1041" spans="1:6" ht="28" x14ac:dyDescent="0.3">
      <c r="A1041" s="6" t="s">
        <v>9</v>
      </c>
      <c r="B1041" s="6" t="s">
        <v>51</v>
      </c>
      <c r="C1041" s="6">
        <v>2016</v>
      </c>
      <c r="D1041" s="6" t="s">
        <v>1</v>
      </c>
      <c r="E1041" s="6" t="s">
        <v>4</v>
      </c>
      <c r="F1041" s="7">
        <v>569</v>
      </c>
    </row>
    <row r="1042" spans="1:6" ht="28" x14ac:dyDescent="0.3">
      <c r="A1042" s="6" t="s">
        <v>9</v>
      </c>
      <c r="B1042" s="6" t="s">
        <v>52</v>
      </c>
      <c r="C1042" s="6">
        <v>2016</v>
      </c>
      <c r="D1042" s="6" t="s">
        <v>1</v>
      </c>
      <c r="E1042" s="6" t="s">
        <v>4</v>
      </c>
      <c r="F1042" s="7">
        <v>536</v>
      </c>
    </row>
    <row r="1043" spans="1:6" ht="28" x14ac:dyDescent="0.3">
      <c r="A1043" s="6" t="s">
        <v>9</v>
      </c>
      <c r="B1043" s="6" t="s">
        <v>53</v>
      </c>
      <c r="C1043" s="6">
        <v>2016</v>
      </c>
      <c r="D1043" s="6" t="s">
        <v>1</v>
      </c>
      <c r="E1043" s="6" t="s">
        <v>4</v>
      </c>
      <c r="F1043" s="7">
        <v>443</v>
      </c>
    </row>
    <row r="1044" spans="1:6" ht="28" x14ac:dyDescent="0.3">
      <c r="A1044" s="6" t="s">
        <v>9</v>
      </c>
      <c r="B1044" s="6" t="s">
        <v>54</v>
      </c>
      <c r="C1044" s="6">
        <v>2016</v>
      </c>
      <c r="D1044" s="6" t="s">
        <v>1</v>
      </c>
      <c r="E1044" s="6" t="s">
        <v>4</v>
      </c>
      <c r="F1044" s="7">
        <v>125</v>
      </c>
    </row>
    <row r="1045" spans="1:6" ht="28" x14ac:dyDescent="0.3">
      <c r="A1045" s="6" t="s">
        <v>9</v>
      </c>
      <c r="B1045" s="6" t="s">
        <v>28</v>
      </c>
      <c r="C1045" s="6">
        <v>2016</v>
      </c>
      <c r="D1045" s="6" t="s">
        <v>1</v>
      </c>
      <c r="E1045" s="6" t="s">
        <v>4</v>
      </c>
      <c r="F1045" s="7">
        <v>104</v>
      </c>
    </row>
    <row r="1046" spans="1:6" ht="28" x14ac:dyDescent="0.3">
      <c r="A1046" s="6" t="s">
        <v>9</v>
      </c>
      <c r="B1046" s="6" t="s">
        <v>55</v>
      </c>
      <c r="C1046" s="6">
        <v>2016</v>
      </c>
      <c r="D1046" s="6" t="s">
        <v>1</v>
      </c>
      <c r="E1046" s="6" t="s">
        <v>4</v>
      </c>
      <c r="F1046" s="7">
        <v>237</v>
      </c>
    </row>
    <row r="1047" spans="1:6" ht="28" x14ac:dyDescent="0.3">
      <c r="A1047" s="6" t="s">
        <v>9</v>
      </c>
      <c r="B1047" s="6" t="s">
        <v>56</v>
      </c>
      <c r="C1047" s="6">
        <v>2016</v>
      </c>
      <c r="D1047" s="6" t="s">
        <v>1</v>
      </c>
      <c r="E1047" s="6" t="s">
        <v>4</v>
      </c>
      <c r="F1047" s="7">
        <v>421</v>
      </c>
    </row>
    <row r="1048" spans="1:6" ht="28" x14ac:dyDescent="0.3">
      <c r="A1048" s="6" t="s">
        <v>9</v>
      </c>
      <c r="B1048" s="6" t="s">
        <v>57</v>
      </c>
      <c r="C1048" s="6">
        <v>2016</v>
      </c>
      <c r="D1048" s="6" t="s">
        <v>1</v>
      </c>
      <c r="E1048" s="6" t="s">
        <v>4</v>
      </c>
      <c r="F1048" s="7">
        <v>149</v>
      </c>
    </row>
    <row r="1049" spans="1:6" ht="28" x14ac:dyDescent="0.3">
      <c r="A1049" s="6" t="s">
        <v>9</v>
      </c>
      <c r="B1049" s="6" t="s">
        <v>58</v>
      </c>
      <c r="C1049" s="6">
        <v>2016</v>
      </c>
      <c r="D1049" s="6" t="s">
        <v>1</v>
      </c>
      <c r="E1049" s="6" t="s">
        <v>4</v>
      </c>
      <c r="F1049" s="7">
        <v>415</v>
      </c>
    </row>
    <row r="1050" spans="1:6" ht="28" x14ac:dyDescent="0.3">
      <c r="A1050" s="6" t="s">
        <v>9</v>
      </c>
      <c r="B1050" s="6" t="s">
        <v>29</v>
      </c>
      <c r="C1050" s="6">
        <v>2016</v>
      </c>
      <c r="D1050" s="6" t="s">
        <v>1</v>
      </c>
      <c r="E1050" s="6" t="s">
        <v>4</v>
      </c>
      <c r="F1050" s="7">
        <v>6</v>
      </c>
    </row>
    <row r="1051" spans="1:6" ht="28" x14ac:dyDescent="0.3">
      <c r="A1051" s="6" t="s">
        <v>9</v>
      </c>
      <c r="B1051" s="6" t="s">
        <v>30</v>
      </c>
      <c r="C1051" s="6">
        <v>2016</v>
      </c>
      <c r="D1051" s="6" t="s">
        <v>1</v>
      </c>
      <c r="E1051" s="6" t="s">
        <v>4</v>
      </c>
      <c r="F1051" s="7">
        <v>6</v>
      </c>
    </row>
    <row r="1052" spans="1:6" ht="28" x14ac:dyDescent="0.3">
      <c r="A1052" s="6" t="s">
        <v>9</v>
      </c>
      <c r="B1052" s="6" t="s">
        <v>31</v>
      </c>
      <c r="C1052" s="6">
        <v>2016</v>
      </c>
      <c r="D1052" s="6" t="s">
        <v>1</v>
      </c>
      <c r="E1052" s="6" t="s">
        <v>4</v>
      </c>
      <c r="F1052" s="7">
        <v>282</v>
      </c>
    </row>
    <row r="1053" spans="1:6" ht="28" x14ac:dyDescent="0.3">
      <c r="A1053" s="6" t="s">
        <v>9</v>
      </c>
      <c r="B1053" s="6" t="s">
        <v>32</v>
      </c>
      <c r="C1053" s="6">
        <v>2016</v>
      </c>
      <c r="D1053" s="6" t="s">
        <v>1</v>
      </c>
      <c r="E1053" s="6" t="s">
        <v>4</v>
      </c>
      <c r="F1053" s="7">
        <v>6</v>
      </c>
    </row>
    <row r="1054" spans="1:6" ht="28" x14ac:dyDescent="0.3">
      <c r="A1054" s="6" t="s">
        <v>9</v>
      </c>
      <c r="B1054" s="6" t="s">
        <v>33</v>
      </c>
      <c r="C1054" s="6">
        <v>2016</v>
      </c>
      <c r="D1054" s="6" t="s">
        <v>1</v>
      </c>
      <c r="E1054" s="6" t="s">
        <v>4</v>
      </c>
      <c r="F1054" s="7">
        <v>6</v>
      </c>
    </row>
    <row r="1055" spans="1:6" ht="28" x14ac:dyDescent="0.3">
      <c r="A1055" s="6" t="s">
        <v>9</v>
      </c>
      <c r="B1055" s="6" t="s">
        <v>34</v>
      </c>
      <c r="C1055" s="6">
        <v>2016</v>
      </c>
      <c r="D1055" s="6" t="s">
        <v>1</v>
      </c>
      <c r="E1055" s="6" t="s">
        <v>4</v>
      </c>
      <c r="F1055" s="7">
        <v>13</v>
      </c>
    </row>
    <row r="1056" spans="1:6" ht="28" x14ac:dyDescent="0.3">
      <c r="A1056" s="6" t="s">
        <v>10</v>
      </c>
      <c r="B1056" s="6" t="s">
        <v>59</v>
      </c>
      <c r="C1056" s="6">
        <v>2016</v>
      </c>
      <c r="D1056" s="6" t="s">
        <v>1</v>
      </c>
      <c r="E1056" s="6" t="s">
        <v>4</v>
      </c>
      <c r="F1056" s="7">
        <v>58</v>
      </c>
    </row>
    <row r="1057" spans="1:6" ht="28" x14ac:dyDescent="0.3">
      <c r="A1057" s="6" t="s">
        <v>10</v>
      </c>
      <c r="B1057" s="6" t="s">
        <v>60</v>
      </c>
      <c r="C1057" s="6">
        <v>2016</v>
      </c>
      <c r="D1057" s="6" t="s">
        <v>1</v>
      </c>
      <c r="E1057" s="6" t="s">
        <v>4</v>
      </c>
      <c r="F1057" s="7">
        <v>5</v>
      </c>
    </row>
    <row r="1058" spans="1:6" ht="28" x14ac:dyDescent="0.3">
      <c r="A1058" s="6" t="s">
        <v>10</v>
      </c>
      <c r="B1058" s="6" t="s">
        <v>61</v>
      </c>
      <c r="C1058" s="6">
        <v>2016</v>
      </c>
      <c r="D1058" s="6" t="s">
        <v>1</v>
      </c>
      <c r="E1058" s="6" t="s">
        <v>4</v>
      </c>
      <c r="F1058" s="7">
        <v>6</v>
      </c>
    </row>
    <row r="1059" spans="1:6" ht="28" x14ac:dyDescent="0.3">
      <c r="A1059" s="6" t="s">
        <v>10</v>
      </c>
      <c r="B1059" s="6" t="s">
        <v>62</v>
      </c>
      <c r="C1059" s="6">
        <v>2016</v>
      </c>
      <c r="D1059" s="6" t="s">
        <v>1</v>
      </c>
      <c r="E1059" s="6" t="s">
        <v>4</v>
      </c>
      <c r="F1059" s="7">
        <v>6</v>
      </c>
    </row>
    <row r="1060" spans="1:6" ht="28" x14ac:dyDescent="0.3">
      <c r="A1060" s="6" t="s">
        <v>10</v>
      </c>
      <c r="B1060" s="6" t="s">
        <v>63</v>
      </c>
      <c r="C1060" s="6">
        <v>2016</v>
      </c>
      <c r="D1060" s="6" t="s">
        <v>1</v>
      </c>
      <c r="E1060" s="6" t="s">
        <v>4</v>
      </c>
      <c r="F1060" s="7">
        <v>30</v>
      </c>
    </row>
    <row r="1061" spans="1:6" ht="28" x14ac:dyDescent="0.3">
      <c r="A1061" s="6" t="s">
        <v>10</v>
      </c>
      <c r="B1061" s="6" t="s">
        <v>64</v>
      </c>
      <c r="C1061" s="6">
        <v>2016</v>
      </c>
      <c r="D1061" s="6" t="s">
        <v>1</v>
      </c>
      <c r="E1061" s="6" t="s">
        <v>4</v>
      </c>
      <c r="F1061" s="7">
        <v>11</v>
      </c>
    </row>
    <row r="1062" spans="1:6" ht="28" x14ac:dyDescent="0.3">
      <c r="A1062" s="6" t="s">
        <v>10</v>
      </c>
      <c r="B1062" s="6" t="s">
        <v>65</v>
      </c>
      <c r="C1062" s="6">
        <v>2016</v>
      </c>
      <c r="D1062" s="6" t="s">
        <v>1</v>
      </c>
      <c r="E1062" s="6" t="s">
        <v>4</v>
      </c>
      <c r="F1062" s="7">
        <v>209</v>
      </c>
    </row>
    <row r="1063" spans="1:6" ht="28" x14ac:dyDescent="0.3">
      <c r="A1063" s="6" t="s">
        <v>10</v>
      </c>
      <c r="B1063" s="6" t="s">
        <v>66</v>
      </c>
      <c r="C1063" s="6">
        <v>2016</v>
      </c>
      <c r="D1063" s="6" t="s">
        <v>1</v>
      </c>
      <c r="E1063" s="6" t="s">
        <v>4</v>
      </c>
      <c r="F1063" s="7">
        <v>6</v>
      </c>
    </row>
    <row r="1064" spans="1:6" ht="28" x14ac:dyDescent="0.3">
      <c r="A1064" s="6" t="s">
        <v>11</v>
      </c>
      <c r="B1064" s="6" t="s">
        <v>67</v>
      </c>
      <c r="C1064" s="6">
        <v>2016</v>
      </c>
      <c r="D1064" s="6" t="s">
        <v>1</v>
      </c>
      <c r="E1064" s="6" t="s">
        <v>4</v>
      </c>
      <c r="F1064" s="7">
        <v>13</v>
      </c>
    </row>
    <row r="1065" spans="1:6" ht="28" x14ac:dyDescent="0.3">
      <c r="A1065" s="6" t="s">
        <v>11</v>
      </c>
      <c r="B1065" s="6" t="s">
        <v>76</v>
      </c>
      <c r="C1065" s="6">
        <v>2016</v>
      </c>
      <c r="D1065" s="6" t="s">
        <v>1</v>
      </c>
      <c r="E1065" s="6" t="s">
        <v>4</v>
      </c>
      <c r="F1065" s="7">
        <v>7</v>
      </c>
    </row>
    <row r="1066" spans="1:6" ht="28" x14ac:dyDescent="0.3">
      <c r="A1066" s="6" t="s">
        <v>11</v>
      </c>
      <c r="B1066" s="6" t="s">
        <v>77</v>
      </c>
      <c r="C1066" s="6">
        <v>2016</v>
      </c>
      <c r="D1066" s="6" t="s">
        <v>1</v>
      </c>
      <c r="E1066" s="6" t="s">
        <v>4</v>
      </c>
      <c r="F1066" s="7">
        <v>6</v>
      </c>
    </row>
    <row r="1067" spans="1:6" ht="28" x14ac:dyDescent="0.3">
      <c r="A1067" s="6" t="s">
        <v>11</v>
      </c>
      <c r="B1067" s="6" t="s">
        <v>78</v>
      </c>
      <c r="C1067" s="6">
        <v>2016</v>
      </c>
      <c r="D1067" s="6" t="s">
        <v>1</v>
      </c>
      <c r="E1067" s="6" t="s">
        <v>4</v>
      </c>
      <c r="F1067" s="7">
        <v>6</v>
      </c>
    </row>
    <row r="1068" spans="1:6" ht="28" x14ac:dyDescent="0.3">
      <c r="A1068" s="6" t="s">
        <v>11</v>
      </c>
      <c r="B1068" s="6" t="s">
        <v>79</v>
      </c>
      <c r="C1068" s="6">
        <v>2016</v>
      </c>
      <c r="D1068" s="6" t="s">
        <v>1</v>
      </c>
      <c r="E1068" s="6" t="s">
        <v>4</v>
      </c>
      <c r="F1068" s="7">
        <v>7</v>
      </c>
    </row>
    <row r="1069" spans="1:6" ht="28" x14ac:dyDescent="0.3">
      <c r="A1069" s="6" t="s">
        <v>11</v>
      </c>
      <c r="B1069" s="6" t="s">
        <v>80</v>
      </c>
      <c r="C1069" s="6">
        <v>2016</v>
      </c>
      <c r="D1069" s="6" t="s">
        <v>1</v>
      </c>
      <c r="E1069" s="6" t="s">
        <v>4</v>
      </c>
      <c r="F1069" s="7">
        <v>6</v>
      </c>
    </row>
    <row r="1070" spans="1:6" ht="28" x14ac:dyDescent="0.3">
      <c r="A1070" s="6" t="s">
        <v>11</v>
      </c>
      <c r="B1070" s="6" t="s">
        <v>68</v>
      </c>
      <c r="C1070" s="6">
        <v>2016</v>
      </c>
      <c r="D1070" s="6" t="s">
        <v>1</v>
      </c>
      <c r="E1070" s="6" t="s">
        <v>4</v>
      </c>
      <c r="F1070" s="7">
        <v>5</v>
      </c>
    </row>
    <row r="1071" spans="1:6" ht="28" x14ac:dyDescent="0.3">
      <c r="A1071" s="6" t="s">
        <v>11</v>
      </c>
      <c r="B1071" s="6" t="s">
        <v>69</v>
      </c>
      <c r="C1071" s="6">
        <v>2016</v>
      </c>
      <c r="D1071" s="6" t="s">
        <v>1</v>
      </c>
      <c r="E1071" s="6" t="s">
        <v>4</v>
      </c>
      <c r="F1071" s="7">
        <v>85</v>
      </c>
    </row>
    <row r="1072" spans="1:6" ht="28" x14ac:dyDescent="0.3">
      <c r="A1072" s="6" t="s">
        <v>11</v>
      </c>
      <c r="B1072" s="6" t="s">
        <v>70</v>
      </c>
      <c r="C1072" s="6">
        <v>2016</v>
      </c>
      <c r="D1072" s="6" t="s">
        <v>1</v>
      </c>
      <c r="E1072" s="6" t="s">
        <v>4</v>
      </c>
      <c r="F1072" s="7">
        <v>17</v>
      </c>
    </row>
    <row r="1073" spans="1:6" ht="28" x14ac:dyDescent="0.3">
      <c r="A1073" s="6" t="s">
        <v>11</v>
      </c>
      <c r="B1073" s="6" t="s">
        <v>71</v>
      </c>
      <c r="C1073" s="6">
        <v>2016</v>
      </c>
      <c r="D1073" s="6" t="s">
        <v>1</v>
      </c>
      <c r="E1073" s="6" t="s">
        <v>4</v>
      </c>
      <c r="F1073" s="7">
        <v>5</v>
      </c>
    </row>
    <row r="1074" spans="1:6" ht="28" x14ac:dyDescent="0.3">
      <c r="A1074" s="6" t="s">
        <v>11</v>
      </c>
      <c r="B1074" s="6" t="s">
        <v>72</v>
      </c>
      <c r="C1074" s="6">
        <v>2016</v>
      </c>
      <c r="D1074" s="6" t="s">
        <v>1</v>
      </c>
      <c r="E1074" s="6" t="s">
        <v>4</v>
      </c>
      <c r="F1074" s="7">
        <v>26</v>
      </c>
    </row>
    <row r="1075" spans="1:6" ht="28" x14ac:dyDescent="0.3">
      <c r="A1075" s="6" t="s">
        <v>11</v>
      </c>
      <c r="B1075" s="6" t="s">
        <v>73</v>
      </c>
      <c r="C1075" s="6">
        <v>2016</v>
      </c>
      <c r="D1075" s="6" t="s">
        <v>1</v>
      </c>
      <c r="E1075" s="6" t="s">
        <v>4</v>
      </c>
      <c r="F1075" s="7">
        <v>8</v>
      </c>
    </row>
    <row r="1076" spans="1:6" ht="28" x14ac:dyDescent="0.3">
      <c r="A1076" s="6" t="s">
        <v>11</v>
      </c>
      <c r="B1076" s="6" t="s">
        <v>74</v>
      </c>
      <c r="C1076" s="6">
        <v>2016</v>
      </c>
      <c r="D1076" s="6" t="s">
        <v>1</v>
      </c>
      <c r="E1076" s="6" t="s">
        <v>4</v>
      </c>
      <c r="F1076" s="7">
        <v>6</v>
      </c>
    </row>
    <row r="1077" spans="1:6" ht="28" x14ac:dyDescent="0.3">
      <c r="A1077" s="6" t="s">
        <v>11</v>
      </c>
      <c r="B1077" s="6" t="s">
        <v>75</v>
      </c>
      <c r="C1077" s="6">
        <v>2016</v>
      </c>
      <c r="D1077" s="6" t="s">
        <v>1</v>
      </c>
      <c r="E1077" s="6" t="s">
        <v>4</v>
      </c>
      <c r="F1077" s="7">
        <v>119</v>
      </c>
    </row>
    <row r="1078" spans="1:6" ht="28" x14ac:dyDescent="0.3">
      <c r="A1078" s="6" t="s">
        <v>12</v>
      </c>
      <c r="B1078" s="6" t="s">
        <v>81</v>
      </c>
      <c r="C1078" s="6">
        <v>2016</v>
      </c>
      <c r="D1078" s="6" t="s">
        <v>1</v>
      </c>
      <c r="E1078" s="6" t="s">
        <v>4</v>
      </c>
      <c r="F1078" s="7">
        <v>19</v>
      </c>
    </row>
    <row r="1079" spans="1:6" ht="28" x14ac:dyDescent="0.3">
      <c r="A1079" s="6" t="s">
        <v>12</v>
      </c>
      <c r="B1079" s="6" t="s">
        <v>82</v>
      </c>
      <c r="C1079" s="6">
        <v>2016</v>
      </c>
      <c r="D1079" s="6" t="s">
        <v>1</v>
      </c>
      <c r="E1079" s="6" t="s">
        <v>4</v>
      </c>
      <c r="F1079" s="7">
        <v>15</v>
      </c>
    </row>
    <row r="1080" spans="1:6" ht="28" x14ac:dyDescent="0.3">
      <c r="A1080" s="6" t="s">
        <v>12</v>
      </c>
      <c r="B1080" s="6" t="s">
        <v>83</v>
      </c>
      <c r="C1080" s="6">
        <v>2016</v>
      </c>
      <c r="D1080" s="6" t="s">
        <v>1</v>
      </c>
      <c r="E1080" s="6" t="s">
        <v>4</v>
      </c>
      <c r="F1080" s="7">
        <v>18</v>
      </c>
    </row>
    <row r="1081" spans="1:6" ht="28" x14ac:dyDescent="0.3">
      <c r="A1081" s="6" t="s">
        <v>12</v>
      </c>
      <c r="B1081" s="6" t="s">
        <v>84</v>
      </c>
      <c r="C1081" s="6">
        <v>2016</v>
      </c>
      <c r="D1081" s="6" t="s">
        <v>1</v>
      </c>
      <c r="E1081" s="6" t="s">
        <v>4</v>
      </c>
      <c r="F1081" s="7">
        <v>6</v>
      </c>
    </row>
    <row r="1082" spans="1:6" ht="28" x14ac:dyDescent="0.3">
      <c r="A1082" s="6" t="s">
        <v>12</v>
      </c>
      <c r="B1082" s="6" t="s">
        <v>85</v>
      </c>
      <c r="C1082" s="6">
        <v>2016</v>
      </c>
      <c r="D1082" s="6" t="s">
        <v>1</v>
      </c>
      <c r="E1082" s="6" t="s">
        <v>4</v>
      </c>
      <c r="F1082" s="7">
        <v>123</v>
      </c>
    </row>
    <row r="1083" spans="1:6" ht="28" x14ac:dyDescent="0.3">
      <c r="A1083" s="6" t="s">
        <v>12</v>
      </c>
      <c r="B1083" s="6" t="s">
        <v>86</v>
      </c>
      <c r="C1083" s="6">
        <v>2016</v>
      </c>
      <c r="D1083" s="6" t="s">
        <v>1</v>
      </c>
      <c r="E1083" s="6" t="s">
        <v>4</v>
      </c>
      <c r="F1083" s="7">
        <v>9</v>
      </c>
    </row>
    <row r="1084" spans="1:6" ht="28" x14ac:dyDescent="0.3">
      <c r="A1084" s="6" t="s">
        <v>12</v>
      </c>
      <c r="B1084" s="6" t="s">
        <v>87</v>
      </c>
      <c r="C1084" s="6">
        <v>2016</v>
      </c>
      <c r="D1084" s="6" t="s">
        <v>1</v>
      </c>
      <c r="E1084" s="6" t="s">
        <v>4</v>
      </c>
      <c r="F1084" s="7">
        <v>73</v>
      </c>
    </row>
    <row r="1085" spans="1:6" ht="28" x14ac:dyDescent="0.3">
      <c r="A1085" s="6" t="s">
        <v>12</v>
      </c>
      <c r="B1085" s="6" t="s">
        <v>88</v>
      </c>
      <c r="C1085" s="6">
        <v>2016</v>
      </c>
      <c r="D1085" s="6" t="s">
        <v>1</v>
      </c>
      <c r="E1085" s="6" t="s">
        <v>4</v>
      </c>
      <c r="F1085" s="7">
        <v>21</v>
      </c>
    </row>
    <row r="1086" spans="1:6" ht="28" x14ac:dyDescent="0.3">
      <c r="A1086" s="6" t="s">
        <v>13</v>
      </c>
      <c r="B1086" s="6" t="s">
        <v>89</v>
      </c>
      <c r="C1086" s="6">
        <v>2016</v>
      </c>
      <c r="D1086" s="6" t="s">
        <v>1</v>
      </c>
      <c r="E1086" s="6" t="s">
        <v>4</v>
      </c>
      <c r="F1086" s="7">
        <v>6</v>
      </c>
    </row>
    <row r="1087" spans="1:6" ht="28" x14ac:dyDescent="0.3">
      <c r="A1087" s="6" t="s">
        <v>13</v>
      </c>
      <c r="B1087" s="6" t="s">
        <v>98</v>
      </c>
      <c r="C1087" s="6">
        <v>2016</v>
      </c>
      <c r="D1087" s="6" t="s">
        <v>1</v>
      </c>
      <c r="E1087" s="6" t="s">
        <v>4</v>
      </c>
      <c r="F1087" s="7">
        <v>5</v>
      </c>
    </row>
    <row r="1088" spans="1:6" ht="28" x14ac:dyDescent="0.3">
      <c r="A1088" s="6" t="s">
        <v>13</v>
      </c>
      <c r="B1088" s="6" t="s">
        <v>99</v>
      </c>
      <c r="C1088" s="6">
        <v>2016</v>
      </c>
      <c r="D1088" s="6" t="s">
        <v>1</v>
      </c>
      <c r="E1088" s="6" t="s">
        <v>4</v>
      </c>
      <c r="F1088" s="7">
        <v>6</v>
      </c>
    </row>
    <row r="1089" spans="1:6" ht="28" x14ac:dyDescent="0.3">
      <c r="A1089" s="6" t="s">
        <v>13</v>
      </c>
      <c r="B1089" s="6" t="s">
        <v>90</v>
      </c>
      <c r="C1089" s="6">
        <v>2016</v>
      </c>
      <c r="D1089" s="6" t="s">
        <v>1</v>
      </c>
      <c r="E1089" s="6" t="s">
        <v>4</v>
      </c>
      <c r="F1089" s="7">
        <v>6</v>
      </c>
    </row>
    <row r="1090" spans="1:6" ht="28" x14ac:dyDescent="0.3">
      <c r="A1090" s="6" t="s">
        <v>13</v>
      </c>
      <c r="B1090" s="6" t="s">
        <v>91</v>
      </c>
      <c r="C1090" s="6">
        <v>2016</v>
      </c>
      <c r="D1090" s="6" t="s">
        <v>1</v>
      </c>
      <c r="E1090" s="6" t="s">
        <v>4</v>
      </c>
      <c r="F1090" s="7">
        <v>5</v>
      </c>
    </row>
    <row r="1091" spans="1:6" ht="28" x14ac:dyDescent="0.3">
      <c r="A1091" s="6" t="s">
        <v>13</v>
      </c>
      <c r="B1091" s="6" t="s">
        <v>92</v>
      </c>
      <c r="C1091" s="6">
        <v>2016</v>
      </c>
      <c r="D1091" s="6" t="s">
        <v>1</v>
      </c>
      <c r="E1091" s="6" t="s">
        <v>4</v>
      </c>
      <c r="F1091" s="7">
        <v>7</v>
      </c>
    </row>
    <row r="1092" spans="1:6" ht="28" x14ac:dyDescent="0.3">
      <c r="A1092" s="6" t="s">
        <v>13</v>
      </c>
      <c r="B1092" s="6" t="s">
        <v>93</v>
      </c>
      <c r="C1092" s="6">
        <v>2016</v>
      </c>
      <c r="D1092" s="6" t="s">
        <v>1</v>
      </c>
      <c r="E1092" s="6" t="s">
        <v>4</v>
      </c>
      <c r="F1092" s="7">
        <v>10</v>
      </c>
    </row>
    <row r="1093" spans="1:6" ht="28" x14ac:dyDescent="0.3">
      <c r="A1093" s="6" t="s">
        <v>13</v>
      </c>
      <c r="B1093" s="6" t="s">
        <v>94</v>
      </c>
      <c r="C1093" s="6">
        <v>2016</v>
      </c>
      <c r="D1093" s="6" t="s">
        <v>1</v>
      </c>
      <c r="E1093" s="6" t="s">
        <v>4</v>
      </c>
      <c r="F1093" s="7">
        <v>6</v>
      </c>
    </row>
    <row r="1094" spans="1:6" ht="28" x14ac:dyDescent="0.3">
      <c r="A1094" s="6" t="s">
        <v>13</v>
      </c>
      <c r="B1094" s="6" t="s">
        <v>95</v>
      </c>
      <c r="C1094" s="6">
        <v>2016</v>
      </c>
      <c r="D1094" s="6" t="s">
        <v>1</v>
      </c>
      <c r="E1094" s="6" t="s">
        <v>4</v>
      </c>
      <c r="F1094" s="7">
        <v>5</v>
      </c>
    </row>
    <row r="1095" spans="1:6" ht="28" x14ac:dyDescent="0.3">
      <c r="A1095" s="6" t="s">
        <v>13</v>
      </c>
      <c r="B1095" s="6" t="s">
        <v>96</v>
      </c>
      <c r="C1095" s="6">
        <v>2016</v>
      </c>
      <c r="D1095" s="6" t="s">
        <v>1</v>
      </c>
      <c r="E1095" s="6" t="s">
        <v>4</v>
      </c>
      <c r="F1095" s="7">
        <v>14</v>
      </c>
    </row>
    <row r="1096" spans="1:6" ht="28" x14ac:dyDescent="0.3">
      <c r="A1096" s="6" t="s">
        <v>13</v>
      </c>
      <c r="B1096" s="6" t="s">
        <v>97</v>
      </c>
      <c r="C1096" s="6">
        <v>2016</v>
      </c>
      <c r="D1096" s="6" t="s">
        <v>1</v>
      </c>
      <c r="E1096" s="6" t="s">
        <v>4</v>
      </c>
      <c r="F1096" s="7">
        <v>10</v>
      </c>
    </row>
    <row r="1097" spans="1:6" ht="28" x14ac:dyDescent="0.3">
      <c r="A1097" s="6" t="s">
        <v>14</v>
      </c>
      <c r="B1097" s="6" t="s">
        <v>100</v>
      </c>
      <c r="C1097" s="6">
        <v>2016</v>
      </c>
      <c r="D1097" s="6" t="s">
        <v>1</v>
      </c>
      <c r="E1097" s="6" t="s">
        <v>4</v>
      </c>
      <c r="F1097" s="7">
        <v>57</v>
      </c>
    </row>
    <row r="1098" spans="1:6" ht="28" x14ac:dyDescent="0.3">
      <c r="A1098" s="6" t="s">
        <v>14</v>
      </c>
      <c r="B1098" s="6" t="s">
        <v>101</v>
      </c>
      <c r="C1098" s="6">
        <v>2016</v>
      </c>
      <c r="D1098" s="6" t="s">
        <v>1</v>
      </c>
      <c r="E1098" s="6" t="s">
        <v>4</v>
      </c>
      <c r="F1098" s="7">
        <v>6</v>
      </c>
    </row>
    <row r="1099" spans="1:6" ht="28" x14ac:dyDescent="0.3">
      <c r="A1099" s="6" t="s">
        <v>14</v>
      </c>
      <c r="B1099" s="6" t="s">
        <v>102</v>
      </c>
      <c r="C1099" s="6">
        <v>2016</v>
      </c>
      <c r="D1099" s="6" t="s">
        <v>1</v>
      </c>
      <c r="E1099" s="6" t="s">
        <v>4</v>
      </c>
      <c r="F1099" s="7">
        <v>528</v>
      </c>
    </row>
    <row r="1100" spans="1:6" ht="28" x14ac:dyDescent="0.3">
      <c r="A1100" s="6" t="s">
        <v>14</v>
      </c>
      <c r="B1100" s="6" t="s">
        <v>103</v>
      </c>
      <c r="C1100" s="6">
        <v>2016</v>
      </c>
      <c r="D1100" s="6" t="s">
        <v>1</v>
      </c>
      <c r="E1100" s="6" t="s">
        <v>4</v>
      </c>
      <c r="F1100" s="7">
        <v>459</v>
      </c>
    </row>
    <row r="1101" spans="1:6" ht="28" x14ac:dyDescent="0.3">
      <c r="A1101" s="6" t="s">
        <v>14</v>
      </c>
      <c r="B1101" s="6" t="s">
        <v>104</v>
      </c>
      <c r="C1101" s="6">
        <v>2016</v>
      </c>
      <c r="D1101" s="6" t="s">
        <v>1</v>
      </c>
      <c r="E1101" s="6" t="s">
        <v>4</v>
      </c>
      <c r="F1101" s="7">
        <v>207</v>
      </c>
    </row>
    <row r="1102" spans="1:6" ht="28" x14ac:dyDescent="0.3">
      <c r="A1102" s="6" t="s">
        <v>14</v>
      </c>
      <c r="B1102" s="6" t="s">
        <v>105</v>
      </c>
      <c r="C1102" s="6">
        <v>2016</v>
      </c>
      <c r="D1102" s="6" t="s">
        <v>1</v>
      </c>
      <c r="E1102" s="6" t="s">
        <v>4</v>
      </c>
      <c r="F1102" s="7">
        <v>18</v>
      </c>
    </row>
    <row r="1103" spans="1:6" ht="28" x14ac:dyDescent="0.3">
      <c r="A1103" s="6" t="s">
        <v>15</v>
      </c>
      <c r="B1103" s="6" t="s">
        <v>106</v>
      </c>
      <c r="C1103" s="6">
        <v>2016</v>
      </c>
      <c r="D1103" s="6" t="s">
        <v>1</v>
      </c>
      <c r="E1103" s="6" t="s">
        <v>4</v>
      </c>
      <c r="F1103" s="7">
        <v>6</v>
      </c>
    </row>
    <row r="1104" spans="1:6" ht="28" x14ac:dyDescent="0.3">
      <c r="A1104" s="6" t="s">
        <v>15</v>
      </c>
      <c r="B1104" s="6" t="s">
        <v>107</v>
      </c>
      <c r="C1104" s="6">
        <v>2016</v>
      </c>
      <c r="D1104" s="6" t="s">
        <v>1</v>
      </c>
      <c r="E1104" s="6" t="s">
        <v>4</v>
      </c>
      <c r="F1104" s="7">
        <v>10</v>
      </c>
    </row>
    <row r="1105" spans="1:6" ht="28" x14ac:dyDescent="0.3">
      <c r="A1105" s="6" t="s">
        <v>15</v>
      </c>
      <c r="B1105" s="6" t="s">
        <v>108</v>
      </c>
      <c r="C1105" s="6">
        <v>2016</v>
      </c>
      <c r="D1105" s="6" t="s">
        <v>1</v>
      </c>
      <c r="E1105" s="6" t="s">
        <v>4</v>
      </c>
      <c r="F1105" s="7">
        <v>6</v>
      </c>
    </row>
    <row r="1106" spans="1:6" ht="28" x14ac:dyDescent="0.3">
      <c r="A1106" s="6" t="s">
        <v>6</v>
      </c>
      <c r="B1106" s="6" t="s">
        <v>17</v>
      </c>
      <c r="C1106" s="6">
        <v>2017</v>
      </c>
      <c r="D1106" s="6" t="s">
        <v>0</v>
      </c>
      <c r="E1106" s="6" t="s">
        <v>5</v>
      </c>
      <c r="F1106" s="7">
        <v>246</v>
      </c>
    </row>
    <row r="1107" spans="1:6" ht="28" x14ac:dyDescent="0.3">
      <c r="A1107" s="6" t="s">
        <v>6</v>
      </c>
      <c r="B1107" s="6" t="s">
        <v>18</v>
      </c>
      <c r="C1107" s="6">
        <v>2017</v>
      </c>
      <c r="D1107" s="6" t="s">
        <v>0</v>
      </c>
      <c r="E1107" s="6" t="s">
        <v>5</v>
      </c>
      <c r="F1107" s="7">
        <v>2225</v>
      </c>
    </row>
    <row r="1108" spans="1:6" ht="28" x14ac:dyDescent="0.3">
      <c r="A1108" s="6" t="s">
        <v>6</v>
      </c>
      <c r="B1108" s="6" t="s">
        <v>19</v>
      </c>
      <c r="C1108" s="6">
        <v>2017</v>
      </c>
      <c r="D1108" s="6" t="s">
        <v>0</v>
      </c>
      <c r="E1108" s="6" t="s">
        <v>5</v>
      </c>
      <c r="F1108" s="7">
        <v>33</v>
      </c>
    </row>
    <row r="1109" spans="1:6" ht="28" x14ac:dyDescent="0.3">
      <c r="A1109" s="6" t="s">
        <v>6</v>
      </c>
      <c r="B1109" s="6" t="s">
        <v>20</v>
      </c>
      <c r="C1109" s="6">
        <v>2017</v>
      </c>
      <c r="D1109" s="6" t="s">
        <v>0</v>
      </c>
      <c r="E1109" s="6" t="s">
        <v>5</v>
      </c>
      <c r="F1109" s="7">
        <v>40742</v>
      </c>
    </row>
    <row r="1110" spans="1:6" ht="28" x14ac:dyDescent="0.3">
      <c r="A1110" s="6" t="s">
        <v>7</v>
      </c>
      <c r="B1110" s="6" t="s">
        <v>21</v>
      </c>
      <c r="C1110" s="6">
        <v>2017</v>
      </c>
      <c r="D1110" s="6" t="s">
        <v>0</v>
      </c>
      <c r="E1110" s="6" t="s">
        <v>5</v>
      </c>
      <c r="F1110" s="7">
        <v>8642</v>
      </c>
    </row>
    <row r="1111" spans="1:6" ht="28" x14ac:dyDescent="0.3">
      <c r="A1111" s="6" t="s">
        <v>7</v>
      </c>
      <c r="B1111" s="6" t="s">
        <v>22</v>
      </c>
      <c r="C1111" s="6">
        <v>2017</v>
      </c>
      <c r="D1111" s="6" t="s">
        <v>0</v>
      </c>
      <c r="E1111" s="6" t="s">
        <v>5</v>
      </c>
      <c r="F1111" s="7">
        <v>43</v>
      </c>
    </row>
    <row r="1112" spans="1:6" ht="28" x14ac:dyDescent="0.3">
      <c r="A1112" s="6" t="s">
        <v>7</v>
      </c>
      <c r="B1112" s="6" t="s">
        <v>23</v>
      </c>
      <c r="C1112" s="6">
        <v>2017</v>
      </c>
      <c r="D1112" s="6" t="s">
        <v>0</v>
      </c>
      <c r="E1112" s="6" t="s">
        <v>5</v>
      </c>
      <c r="F1112" s="7">
        <v>85</v>
      </c>
    </row>
    <row r="1113" spans="1:6" ht="28" x14ac:dyDescent="0.3">
      <c r="A1113" s="6" t="s">
        <v>8</v>
      </c>
      <c r="B1113" s="6" t="s">
        <v>24</v>
      </c>
      <c r="C1113" s="6">
        <v>2017</v>
      </c>
      <c r="D1113" s="6" t="s">
        <v>0</v>
      </c>
      <c r="E1113" s="6" t="s">
        <v>5</v>
      </c>
      <c r="F1113" s="7">
        <v>2715</v>
      </c>
    </row>
    <row r="1114" spans="1:6" ht="28" x14ac:dyDescent="0.3">
      <c r="A1114" s="6" t="s">
        <v>8</v>
      </c>
      <c r="B1114" s="6" t="s">
        <v>25</v>
      </c>
      <c r="C1114" s="6">
        <v>2017</v>
      </c>
      <c r="D1114" s="6" t="s">
        <v>0</v>
      </c>
      <c r="E1114" s="6" t="s">
        <v>5</v>
      </c>
      <c r="F1114" s="7">
        <v>1054</v>
      </c>
    </row>
    <row r="1115" spans="1:6" ht="28" x14ac:dyDescent="0.3">
      <c r="A1115" s="6" t="s">
        <v>9</v>
      </c>
      <c r="B1115" s="6" t="s">
        <v>26</v>
      </c>
      <c r="C1115" s="6">
        <v>2017</v>
      </c>
      <c r="D1115" s="6" t="s">
        <v>0</v>
      </c>
      <c r="E1115" s="6" t="s">
        <v>5</v>
      </c>
      <c r="F1115" s="7">
        <v>92</v>
      </c>
    </row>
    <row r="1116" spans="1:6" ht="28" x14ac:dyDescent="0.3">
      <c r="A1116" s="6" t="s">
        <v>9</v>
      </c>
      <c r="B1116" s="6" t="s">
        <v>35</v>
      </c>
      <c r="C1116" s="6">
        <v>2017</v>
      </c>
      <c r="D1116" s="6" t="s">
        <v>0</v>
      </c>
      <c r="E1116" s="6" t="s">
        <v>5</v>
      </c>
      <c r="F1116" s="7">
        <v>65</v>
      </c>
    </row>
    <row r="1117" spans="1:6" ht="28" x14ac:dyDescent="0.3">
      <c r="A1117" s="6" t="s">
        <v>9</v>
      </c>
      <c r="B1117" s="6" t="s">
        <v>36</v>
      </c>
      <c r="C1117" s="6">
        <v>2017</v>
      </c>
      <c r="D1117" s="6" t="s">
        <v>0</v>
      </c>
      <c r="E1117" s="6" t="s">
        <v>5</v>
      </c>
      <c r="F1117" s="7">
        <v>106</v>
      </c>
    </row>
    <row r="1118" spans="1:6" ht="28" x14ac:dyDescent="0.3">
      <c r="A1118" s="6" t="s">
        <v>9</v>
      </c>
      <c r="B1118" s="6" t="s">
        <v>37</v>
      </c>
      <c r="C1118" s="6">
        <v>2017</v>
      </c>
      <c r="D1118" s="6" t="s">
        <v>0</v>
      </c>
      <c r="E1118" s="6" t="s">
        <v>5</v>
      </c>
      <c r="F1118" s="7">
        <v>26</v>
      </c>
    </row>
    <row r="1119" spans="1:6" ht="28" x14ac:dyDescent="0.3">
      <c r="A1119" s="6" t="s">
        <v>9</v>
      </c>
      <c r="B1119" s="6" t="s">
        <v>38</v>
      </c>
      <c r="C1119" s="6">
        <v>2017</v>
      </c>
      <c r="D1119" s="6" t="s">
        <v>0</v>
      </c>
      <c r="E1119" s="6" t="s">
        <v>5</v>
      </c>
      <c r="F1119" s="7">
        <v>2364</v>
      </c>
    </row>
    <row r="1120" spans="1:6" ht="28" x14ac:dyDescent="0.3">
      <c r="A1120" s="6" t="s">
        <v>9</v>
      </c>
      <c r="B1120" s="6" t="s">
        <v>39</v>
      </c>
      <c r="C1120" s="6">
        <v>2017</v>
      </c>
      <c r="D1120" s="6" t="s">
        <v>0</v>
      </c>
      <c r="E1120" s="6" t="s">
        <v>5</v>
      </c>
      <c r="F1120" s="7">
        <v>96</v>
      </c>
    </row>
    <row r="1121" spans="1:6" ht="28" x14ac:dyDescent="0.3">
      <c r="A1121" s="6" t="s">
        <v>9</v>
      </c>
      <c r="B1121" s="6" t="s">
        <v>40</v>
      </c>
      <c r="C1121" s="6">
        <v>2017</v>
      </c>
      <c r="D1121" s="6" t="s">
        <v>0</v>
      </c>
      <c r="E1121" s="6" t="s">
        <v>5</v>
      </c>
      <c r="F1121" s="7">
        <v>95</v>
      </c>
    </row>
    <row r="1122" spans="1:6" ht="28" x14ac:dyDescent="0.3">
      <c r="A1122" s="6" t="s">
        <v>9</v>
      </c>
      <c r="B1122" s="6" t="s">
        <v>41</v>
      </c>
      <c r="C1122" s="6">
        <v>2017</v>
      </c>
      <c r="D1122" s="6" t="s">
        <v>0</v>
      </c>
      <c r="E1122" s="6" t="s">
        <v>5</v>
      </c>
      <c r="F1122" s="7">
        <v>2929</v>
      </c>
    </row>
    <row r="1123" spans="1:6" ht="28" x14ac:dyDescent="0.3">
      <c r="A1123" s="6" t="s">
        <v>9</v>
      </c>
      <c r="B1123" s="6" t="s">
        <v>42</v>
      </c>
      <c r="C1123" s="6">
        <v>2017</v>
      </c>
      <c r="D1123" s="6" t="s">
        <v>0</v>
      </c>
      <c r="E1123" s="6" t="s">
        <v>5</v>
      </c>
      <c r="F1123" s="7">
        <v>6090</v>
      </c>
    </row>
    <row r="1124" spans="1:6" ht="28" x14ac:dyDescent="0.3">
      <c r="A1124" s="6" t="s">
        <v>9</v>
      </c>
      <c r="B1124" s="6" t="s">
        <v>43</v>
      </c>
      <c r="C1124" s="6">
        <v>2017</v>
      </c>
      <c r="D1124" s="6" t="s">
        <v>0</v>
      </c>
      <c r="E1124" s="6" t="s">
        <v>5</v>
      </c>
      <c r="F1124" s="7">
        <v>2920</v>
      </c>
    </row>
    <row r="1125" spans="1:6" ht="28" x14ac:dyDescent="0.3">
      <c r="A1125" s="6" t="s">
        <v>9</v>
      </c>
      <c r="B1125" s="6" t="s">
        <v>44</v>
      </c>
      <c r="C1125" s="6">
        <v>2017</v>
      </c>
      <c r="D1125" s="6" t="s">
        <v>0</v>
      </c>
      <c r="E1125" s="6" t="s">
        <v>5</v>
      </c>
      <c r="F1125" s="7">
        <v>724</v>
      </c>
    </row>
    <row r="1126" spans="1:6" ht="28" x14ac:dyDescent="0.3">
      <c r="A1126" s="6" t="s">
        <v>9</v>
      </c>
      <c r="B1126" s="6" t="s">
        <v>27</v>
      </c>
      <c r="C1126" s="6">
        <v>2017</v>
      </c>
      <c r="D1126" s="6" t="s">
        <v>0</v>
      </c>
      <c r="E1126" s="6" t="s">
        <v>5</v>
      </c>
      <c r="F1126" s="7">
        <v>293</v>
      </c>
    </row>
    <row r="1127" spans="1:6" ht="28" x14ac:dyDescent="0.3">
      <c r="A1127" s="6" t="s">
        <v>9</v>
      </c>
      <c r="B1127" s="6" t="s">
        <v>45</v>
      </c>
      <c r="C1127" s="6">
        <v>2017</v>
      </c>
      <c r="D1127" s="6" t="s">
        <v>0</v>
      </c>
      <c r="E1127" s="6" t="s">
        <v>5</v>
      </c>
      <c r="F1127" s="7">
        <v>20</v>
      </c>
    </row>
    <row r="1128" spans="1:6" ht="28" x14ac:dyDescent="0.3">
      <c r="A1128" s="6" t="s">
        <v>9</v>
      </c>
      <c r="B1128" s="6" t="s">
        <v>46</v>
      </c>
      <c r="C1128" s="6">
        <v>2017</v>
      </c>
      <c r="D1128" s="6" t="s">
        <v>0</v>
      </c>
      <c r="E1128" s="6" t="s">
        <v>5</v>
      </c>
      <c r="F1128" s="7">
        <v>1557</v>
      </c>
    </row>
    <row r="1129" spans="1:6" ht="28" x14ac:dyDescent="0.3">
      <c r="A1129" s="6" t="s">
        <v>9</v>
      </c>
      <c r="B1129" s="6" t="s">
        <v>47</v>
      </c>
      <c r="C1129" s="6">
        <v>2017</v>
      </c>
      <c r="D1129" s="6" t="s">
        <v>0</v>
      </c>
      <c r="E1129" s="6" t="s">
        <v>5</v>
      </c>
      <c r="F1129" s="7">
        <v>580</v>
      </c>
    </row>
    <row r="1130" spans="1:6" ht="28" x14ac:dyDescent="0.3">
      <c r="A1130" s="6" t="s">
        <v>9</v>
      </c>
      <c r="B1130" s="6" t="s">
        <v>48</v>
      </c>
      <c r="C1130" s="6">
        <v>2017</v>
      </c>
      <c r="D1130" s="6" t="s">
        <v>0</v>
      </c>
      <c r="E1130" s="6" t="s">
        <v>5</v>
      </c>
      <c r="F1130" s="7">
        <v>1581</v>
      </c>
    </row>
    <row r="1131" spans="1:6" ht="28" x14ac:dyDescent="0.3">
      <c r="A1131" s="6" t="s">
        <v>9</v>
      </c>
      <c r="B1131" s="6" t="s">
        <v>49</v>
      </c>
      <c r="C1131" s="6">
        <v>2017</v>
      </c>
      <c r="D1131" s="6" t="s">
        <v>0</v>
      </c>
      <c r="E1131" s="6" t="s">
        <v>5</v>
      </c>
      <c r="F1131" s="7">
        <v>2680</v>
      </c>
    </row>
    <row r="1132" spans="1:6" ht="28" x14ac:dyDescent="0.3">
      <c r="A1132" s="6" t="s">
        <v>9</v>
      </c>
      <c r="B1132" s="6" t="s">
        <v>50</v>
      </c>
      <c r="C1132" s="6">
        <v>2017</v>
      </c>
      <c r="D1132" s="6" t="s">
        <v>0</v>
      </c>
      <c r="E1132" s="6" t="s">
        <v>5</v>
      </c>
      <c r="F1132" s="7">
        <v>1557</v>
      </c>
    </row>
    <row r="1133" spans="1:6" ht="28" x14ac:dyDescent="0.3">
      <c r="A1133" s="6" t="s">
        <v>9</v>
      </c>
      <c r="B1133" s="6" t="s">
        <v>51</v>
      </c>
      <c r="C1133" s="6">
        <v>2017</v>
      </c>
      <c r="D1133" s="6" t="s">
        <v>0</v>
      </c>
      <c r="E1133" s="6" t="s">
        <v>5</v>
      </c>
      <c r="F1133" s="7">
        <v>5227</v>
      </c>
    </row>
    <row r="1134" spans="1:6" ht="28" x14ac:dyDescent="0.3">
      <c r="A1134" s="6" t="s">
        <v>9</v>
      </c>
      <c r="B1134" s="6" t="s">
        <v>52</v>
      </c>
      <c r="C1134" s="6">
        <v>2017</v>
      </c>
      <c r="D1134" s="6" t="s">
        <v>0</v>
      </c>
      <c r="E1134" s="6" t="s">
        <v>5</v>
      </c>
      <c r="F1134" s="7">
        <v>6244</v>
      </c>
    </row>
    <row r="1135" spans="1:6" ht="28" x14ac:dyDescent="0.3">
      <c r="A1135" s="6" t="s">
        <v>9</v>
      </c>
      <c r="B1135" s="6" t="s">
        <v>53</v>
      </c>
      <c r="C1135" s="6">
        <v>2017</v>
      </c>
      <c r="D1135" s="6" t="s">
        <v>0</v>
      </c>
      <c r="E1135" s="6" t="s">
        <v>5</v>
      </c>
      <c r="F1135" s="7">
        <v>6500</v>
      </c>
    </row>
    <row r="1136" spans="1:6" ht="28" x14ac:dyDescent="0.3">
      <c r="A1136" s="6" t="s">
        <v>9</v>
      </c>
      <c r="B1136" s="6" t="s">
        <v>54</v>
      </c>
      <c r="C1136" s="6">
        <v>2017</v>
      </c>
      <c r="D1136" s="6" t="s">
        <v>0</v>
      </c>
      <c r="E1136" s="6" t="s">
        <v>5</v>
      </c>
      <c r="F1136" s="7">
        <v>939</v>
      </c>
    </row>
    <row r="1137" spans="1:6" ht="28" x14ac:dyDescent="0.3">
      <c r="A1137" s="6" t="s">
        <v>9</v>
      </c>
      <c r="B1137" s="6" t="s">
        <v>28</v>
      </c>
      <c r="C1137" s="6">
        <v>2017</v>
      </c>
      <c r="D1137" s="6" t="s">
        <v>0</v>
      </c>
      <c r="E1137" s="6" t="s">
        <v>5</v>
      </c>
      <c r="F1137" s="7">
        <v>1833</v>
      </c>
    </row>
    <row r="1138" spans="1:6" ht="28" x14ac:dyDescent="0.3">
      <c r="A1138" s="6" t="s">
        <v>9</v>
      </c>
      <c r="B1138" s="6" t="s">
        <v>55</v>
      </c>
      <c r="C1138" s="6">
        <v>2017</v>
      </c>
      <c r="D1138" s="6" t="s">
        <v>0</v>
      </c>
      <c r="E1138" s="6" t="s">
        <v>5</v>
      </c>
      <c r="F1138" s="7">
        <v>2999</v>
      </c>
    </row>
    <row r="1139" spans="1:6" ht="28" x14ac:dyDescent="0.3">
      <c r="A1139" s="6" t="s">
        <v>9</v>
      </c>
      <c r="B1139" s="6" t="s">
        <v>56</v>
      </c>
      <c r="C1139" s="6">
        <v>2017</v>
      </c>
      <c r="D1139" s="6" t="s">
        <v>0</v>
      </c>
      <c r="E1139" s="6" t="s">
        <v>5</v>
      </c>
      <c r="F1139" s="7">
        <v>5455</v>
      </c>
    </row>
    <row r="1140" spans="1:6" ht="28" x14ac:dyDescent="0.3">
      <c r="A1140" s="6" t="s">
        <v>9</v>
      </c>
      <c r="B1140" s="6" t="s">
        <v>57</v>
      </c>
      <c r="C1140" s="6">
        <v>2017</v>
      </c>
      <c r="D1140" s="6" t="s">
        <v>0</v>
      </c>
      <c r="E1140" s="6" t="s">
        <v>5</v>
      </c>
      <c r="F1140" s="7">
        <v>2848</v>
      </c>
    </row>
    <row r="1141" spans="1:6" ht="28" x14ac:dyDescent="0.3">
      <c r="A1141" s="6" t="s">
        <v>9</v>
      </c>
      <c r="B1141" s="6" t="s">
        <v>58</v>
      </c>
      <c r="C1141" s="6">
        <v>2017</v>
      </c>
      <c r="D1141" s="6" t="s">
        <v>0</v>
      </c>
      <c r="E1141" s="6" t="s">
        <v>5</v>
      </c>
      <c r="F1141" s="7">
        <v>6930</v>
      </c>
    </row>
    <row r="1142" spans="1:6" ht="28" x14ac:dyDescent="0.3">
      <c r="A1142" s="6" t="s">
        <v>9</v>
      </c>
      <c r="B1142" s="6" t="s">
        <v>29</v>
      </c>
      <c r="C1142" s="6">
        <v>2017</v>
      </c>
      <c r="D1142" s="6" t="s">
        <v>0</v>
      </c>
      <c r="E1142" s="6" t="s">
        <v>5</v>
      </c>
      <c r="F1142" s="7">
        <v>29</v>
      </c>
    </row>
    <row r="1143" spans="1:6" ht="28" x14ac:dyDescent="0.3">
      <c r="A1143" s="6" t="s">
        <v>9</v>
      </c>
      <c r="B1143" s="6" t="s">
        <v>30</v>
      </c>
      <c r="C1143" s="6">
        <v>2017</v>
      </c>
      <c r="D1143" s="6" t="s">
        <v>0</v>
      </c>
      <c r="E1143" s="6" t="s">
        <v>5</v>
      </c>
      <c r="F1143" s="7">
        <v>161</v>
      </c>
    </row>
    <row r="1144" spans="1:6" ht="28" x14ac:dyDescent="0.3">
      <c r="A1144" s="6" t="s">
        <v>9</v>
      </c>
      <c r="B1144" s="6" t="s">
        <v>31</v>
      </c>
      <c r="C1144" s="6">
        <v>2017</v>
      </c>
      <c r="D1144" s="6" t="s">
        <v>0</v>
      </c>
      <c r="E1144" s="6" t="s">
        <v>5</v>
      </c>
      <c r="F1144" s="7">
        <v>2723</v>
      </c>
    </row>
    <row r="1145" spans="1:6" ht="28" x14ac:dyDescent="0.3">
      <c r="A1145" s="6" t="s">
        <v>9</v>
      </c>
      <c r="B1145" s="6" t="s">
        <v>32</v>
      </c>
      <c r="C1145" s="6">
        <v>2017</v>
      </c>
      <c r="D1145" s="6" t="s">
        <v>0</v>
      </c>
      <c r="E1145" s="6" t="s">
        <v>5</v>
      </c>
      <c r="F1145" s="7">
        <v>72</v>
      </c>
    </row>
    <row r="1146" spans="1:6" ht="28" x14ac:dyDescent="0.3">
      <c r="A1146" s="6" t="s">
        <v>9</v>
      </c>
      <c r="B1146" s="6" t="s">
        <v>33</v>
      </c>
      <c r="C1146" s="6">
        <v>2017</v>
      </c>
      <c r="D1146" s="6" t="s">
        <v>0</v>
      </c>
      <c r="E1146" s="6" t="s">
        <v>5</v>
      </c>
      <c r="F1146" s="7">
        <v>252</v>
      </c>
    </row>
    <row r="1147" spans="1:6" ht="28" x14ac:dyDescent="0.3">
      <c r="A1147" s="6" t="s">
        <v>9</v>
      </c>
      <c r="B1147" s="6" t="s">
        <v>34</v>
      </c>
      <c r="C1147" s="6">
        <v>2017</v>
      </c>
      <c r="D1147" s="6" t="s">
        <v>0</v>
      </c>
      <c r="E1147" s="6" t="s">
        <v>5</v>
      </c>
      <c r="F1147" s="7">
        <v>428</v>
      </c>
    </row>
    <row r="1148" spans="1:6" ht="28" x14ac:dyDescent="0.3">
      <c r="A1148" s="6" t="s">
        <v>10</v>
      </c>
      <c r="B1148" s="6" t="s">
        <v>59</v>
      </c>
      <c r="C1148" s="6">
        <v>2017</v>
      </c>
      <c r="D1148" s="6" t="s">
        <v>0</v>
      </c>
      <c r="E1148" s="6" t="s">
        <v>5</v>
      </c>
      <c r="F1148" s="7">
        <v>1812</v>
      </c>
    </row>
    <row r="1149" spans="1:6" ht="28" x14ac:dyDescent="0.3">
      <c r="A1149" s="6" t="s">
        <v>10</v>
      </c>
      <c r="B1149" s="6" t="s">
        <v>60</v>
      </c>
      <c r="C1149" s="6">
        <v>2017</v>
      </c>
      <c r="D1149" s="6" t="s">
        <v>0</v>
      </c>
      <c r="E1149" s="6" t="s">
        <v>5</v>
      </c>
      <c r="F1149" s="7">
        <v>121</v>
      </c>
    </row>
    <row r="1150" spans="1:6" ht="28" x14ac:dyDescent="0.3">
      <c r="A1150" s="6" t="s">
        <v>10</v>
      </c>
      <c r="B1150" s="6" t="s">
        <v>61</v>
      </c>
      <c r="C1150" s="6">
        <v>2017</v>
      </c>
      <c r="D1150" s="6" t="s">
        <v>0</v>
      </c>
      <c r="E1150" s="6" t="s">
        <v>5</v>
      </c>
      <c r="F1150" s="7">
        <v>88</v>
      </c>
    </row>
    <row r="1151" spans="1:6" ht="28" x14ac:dyDescent="0.3">
      <c r="A1151" s="6" t="s">
        <v>10</v>
      </c>
      <c r="B1151" s="6" t="s">
        <v>62</v>
      </c>
      <c r="C1151" s="6">
        <v>2017</v>
      </c>
      <c r="D1151" s="6" t="s">
        <v>0</v>
      </c>
      <c r="E1151" s="6" t="s">
        <v>5</v>
      </c>
      <c r="F1151" s="7">
        <v>21</v>
      </c>
    </row>
    <row r="1152" spans="1:6" ht="28" x14ac:dyDescent="0.3">
      <c r="A1152" s="6" t="s">
        <v>10</v>
      </c>
      <c r="B1152" s="6" t="s">
        <v>63</v>
      </c>
      <c r="C1152" s="6">
        <v>2017</v>
      </c>
      <c r="D1152" s="6" t="s">
        <v>0</v>
      </c>
      <c r="E1152" s="6" t="s">
        <v>5</v>
      </c>
      <c r="F1152" s="7">
        <v>301</v>
      </c>
    </row>
    <row r="1153" spans="1:6" ht="28" x14ac:dyDescent="0.3">
      <c r="A1153" s="6" t="s">
        <v>10</v>
      </c>
      <c r="B1153" s="6" t="s">
        <v>64</v>
      </c>
      <c r="C1153" s="6">
        <v>2017</v>
      </c>
      <c r="D1153" s="6" t="s">
        <v>0</v>
      </c>
      <c r="E1153" s="6" t="s">
        <v>5</v>
      </c>
      <c r="F1153" s="7">
        <v>31</v>
      </c>
    </row>
    <row r="1154" spans="1:6" ht="28" x14ac:dyDescent="0.3">
      <c r="A1154" s="6" t="s">
        <v>10</v>
      </c>
      <c r="B1154" s="6" t="s">
        <v>65</v>
      </c>
      <c r="C1154" s="6">
        <v>2017</v>
      </c>
      <c r="D1154" s="6" t="s">
        <v>0</v>
      </c>
      <c r="E1154" s="6" t="s">
        <v>5</v>
      </c>
      <c r="F1154" s="7">
        <v>4655</v>
      </c>
    </row>
    <row r="1155" spans="1:6" ht="28" x14ac:dyDescent="0.3">
      <c r="A1155" s="6" t="s">
        <v>10</v>
      </c>
      <c r="B1155" s="6" t="s">
        <v>66</v>
      </c>
      <c r="C1155" s="6">
        <v>2017</v>
      </c>
      <c r="D1155" s="6" t="s">
        <v>0</v>
      </c>
      <c r="E1155" s="6" t="s">
        <v>5</v>
      </c>
      <c r="F1155" s="7">
        <v>187</v>
      </c>
    </row>
    <row r="1156" spans="1:6" ht="28" x14ac:dyDescent="0.3">
      <c r="A1156" s="6" t="s">
        <v>11</v>
      </c>
      <c r="B1156" s="6" t="s">
        <v>67</v>
      </c>
      <c r="C1156" s="6">
        <v>2017</v>
      </c>
      <c r="D1156" s="6" t="s">
        <v>0</v>
      </c>
      <c r="E1156" s="6" t="s">
        <v>5</v>
      </c>
      <c r="F1156" s="7">
        <v>91</v>
      </c>
    </row>
    <row r="1157" spans="1:6" ht="28" x14ac:dyDescent="0.3">
      <c r="A1157" s="6" t="s">
        <v>11</v>
      </c>
      <c r="B1157" s="6" t="s">
        <v>76</v>
      </c>
      <c r="C1157" s="6">
        <v>2017</v>
      </c>
      <c r="D1157" s="6" t="s">
        <v>0</v>
      </c>
      <c r="E1157" s="6" t="s">
        <v>5</v>
      </c>
      <c r="F1157" s="7">
        <v>468</v>
      </c>
    </row>
    <row r="1158" spans="1:6" ht="28" x14ac:dyDescent="0.3">
      <c r="A1158" s="6" t="s">
        <v>11</v>
      </c>
      <c r="B1158" s="6" t="s">
        <v>77</v>
      </c>
      <c r="C1158" s="6">
        <v>2017</v>
      </c>
      <c r="D1158" s="6" t="s">
        <v>0</v>
      </c>
      <c r="E1158" s="6" t="s">
        <v>5</v>
      </c>
      <c r="F1158" s="7">
        <v>286</v>
      </c>
    </row>
    <row r="1159" spans="1:6" ht="28" x14ac:dyDescent="0.3">
      <c r="A1159" s="6" t="s">
        <v>11</v>
      </c>
      <c r="B1159" s="6" t="s">
        <v>78</v>
      </c>
      <c r="C1159" s="6">
        <v>2017</v>
      </c>
      <c r="D1159" s="6" t="s">
        <v>0</v>
      </c>
      <c r="E1159" s="6" t="s">
        <v>5</v>
      </c>
      <c r="F1159" s="7">
        <v>183</v>
      </c>
    </row>
    <row r="1160" spans="1:6" ht="28" x14ac:dyDescent="0.3">
      <c r="A1160" s="6" t="s">
        <v>11</v>
      </c>
      <c r="B1160" s="6" t="s">
        <v>79</v>
      </c>
      <c r="C1160" s="6">
        <v>2017</v>
      </c>
      <c r="D1160" s="6" t="s">
        <v>0</v>
      </c>
      <c r="E1160" s="6" t="s">
        <v>5</v>
      </c>
      <c r="F1160" s="7">
        <v>15</v>
      </c>
    </row>
    <row r="1161" spans="1:6" ht="28" x14ac:dyDescent="0.3">
      <c r="A1161" s="6" t="s">
        <v>11</v>
      </c>
      <c r="B1161" s="6" t="s">
        <v>80</v>
      </c>
      <c r="C1161" s="6">
        <v>2017</v>
      </c>
      <c r="D1161" s="6" t="s">
        <v>0</v>
      </c>
      <c r="E1161" s="6" t="s">
        <v>5</v>
      </c>
      <c r="F1161" s="7">
        <v>118</v>
      </c>
    </row>
    <row r="1162" spans="1:6" ht="28" x14ac:dyDescent="0.3">
      <c r="A1162" s="6" t="s">
        <v>11</v>
      </c>
      <c r="B1162" s="6" t="s">
        <v>68</v>
      </c>
      <c r="C1162" s="6">
        <v>2017</v>
      </c>
      <c r="D1162" s="6" t="s">
        <v>0</v>
      </c>
      <c r="E1162" s="6" t="s">
        <v>5</v>
      </c>
      <c r="F1162" s="7">
        <v>212</v>
      </c>
    </row>
    <row r="1163" spans="1:6" ht="28" x14ac:dyDescent="0.3">
      <c r="A1163" s="6" t="s">
        <v>11</v>
      </c>
      <c r="B1163" s="6" t="s">
        <v>69</v>
      </c>
      <c r="C1163" s="6">
        <v>2017</v>
      </c>
      <c r="D1163" s="6" t="s">
        <v>0</v>
      </c>
      <c r="E1163" s="6" t="s">
        <v>5</v>
      </c>
      <c r="F1163" s="7">
        <v>5923</v>
      </c>
    </row>
    <row r="1164" spans="1:6" ht="28" x14ac:dyDescent="0.3">
      <c r="A1164" s="6" t="s">
        <v>11</v>
      </c>
      <c r="B1164" s="6" t="s">
        <v>70</v>
      </c>
      <c r="C1164" s="6">
        <v>2017</v>
      </c>
      <c r="D1164" s="6" t="s">
        <v>0</v>
      </c>
      <c r="E1164" s="6" t="s">
        <v>5</v>
      </c>
      <c r="F1164" s="7">
        <v>512</v>
      </c>
    </row>
    <row r="1165" spans="1:6" ht="28" x14ac:dyDescent="0.3">
      <c r="A1165" s="6" t="s">
        <v>11</v>
      </c>
      <c r="B1165" s="6" t="s">
        <v>71</v>
      </c>
      <c r="C1165" s="6">
        <v>2017</v>
      </c>
      <c r="D1165" s="6" t="s">
        <v>0</v>
      </c>
      <c r="E1165" s="6" t="s">
        <v>5</v>
      </c>
      <c r="F1165" s="7">
        <v>13</v>
      </c>
    </row>
    <row r="1166" spans="1:6" ht="28" x14ac:dyDescent="0.3">
      <c r="A1166" s="6" t="s">
        <v>11</v>
      </c>
      <c r="B1166" s="6" t="s">
        <v>72</v>
      </c>
      <c r="C1166" s="6">
        <v>2017</v>
      </c>
      <c r="D1166" s="6" t="s">
        <v>0</v>
      </c>
      <c r="E1166" s="6" t="s">
        <v>5</v>
      </c>
      <c r="F1166" s="7">
        <v>722</v>
      </c>
    </row>
    <row r="1167" spans="1:6" ht="28" x14ac:dyDescent="0.3">
      <c r="A1167" s="6" t="s">
        <v>11</v>
      </c>
      <c r="B1167" s="6" t="s">
        <v>73</v>
      </c>
      <c r="C1167" s="6">
        <v>2017</v>
      </c>
      <c r="D1167" s="6" t="s">
        <v>0</v>
      </c>
      <c r="E1167" s="6" t="s">
        <v>5</v>
      </c>
      <c r="F1167" s="7">
        <v>168</v>
      </c>
    </row>
    <row r="1168" spans="1:6" ht="28" x14ac:dyDescent="0.3">
      <c r="A1168" s="6" t="s">
        <v>11</v>
      </c>
      <c r="B1168" s="6" t="s">
        <v>74</v>
      </c>
      <c r="C1168" s="6">
        <v>2017</v>
      </c>
      <c r="D1168" s="6" t="s">
        <v>0</v>
      </c>
      <c r="E1168" s="6" t="s">
        <v>5</v>
      </c>
      <c r="F1168" s="7">
        <v>63</v>
      </c>
    </row>
    <row r="1169" spans="1:6" ht="28" x14ac:dyDescent="0.3">
      <c r="A1169" s="6" t="s">
        <v>11</v>
      </c>
      <c r="B1169" s="6" t="s">
        <v>75</v>
      </c>
      <c r="C1169" s="6">
        <v>2017</v>
      </c>
      <c r="D1169" s="6" t="s">
        <v>0</v>
      </c>
      <c r="E1169" s="6" t="s">
        <v>5</v>
      </c>
      <c r="F1169" s="7">
        <v>6026</v>
      </c>
    </row>
    <row r="1170" spans="1:6" ht="28" x14ac:dyDescent="0.3">
      <c r="A1170" s="6" t="s">
        <v>12</v>
      </c>
      <c r="B1170" s="6" t="s">
        <v>81</v>
      </c>
      <c r="C1170" s="6">
        <v>2017</v>
      </c>
      <c r="D1170" s="6" t="s">
        <v>0</v>
      </c>
      <c r="E1170" s="6" t="s">
        <v>5</v>
      </c>
      <c r="F1170" s="7">
        <v>90</v>
      </c>
    </row>
    <row r="1171" spans="1:6" ht="28" x14ac:dyDescent="0.3">
      <c r="A1171" s="6" t="s">
        <v>12</v>
      </c>
      <c r="B1171" s="6" t="s">
        <v>82</v>
      </c>
      <c r="C1171" s="6">
        <v>2017</v>
      </c>
      <c r="D1171" s="6" t="s">
        <v>0</v>
      </c>
      <c r="E1171" s="6" t="s">
        <v>5</v>
      </c>
      <c r="F1171" s="7">
        <v>574</v>
      </c>
    </row>
    <row r="1172" spans="1:6" ht="28" x14ac:dyDescent="0.3">
      <c r="A1172" s="6" t="s">
        <v>12</v>
      </c>
      <c r="B1172" s="6" t="s">
        <v>83</v>
      </c>
      <c r="C1172" s="6">
        <v>2017</v>
      </c>
      <c r="D1172" s="6" t="s">
        <v>0</v>
      </c>
      <c r="E1172" s="6" t="s">
        <v>5</v>
      </c>
      <c r="F1172" s="7">
        <v>260</v>
      </c>
    </row>
    <row r="1173" spans="1:6" ht="28" x14ac:dyDescent="0.3">
      <c r="A1173" s="6" t="s">
        <v>12</v>
      </c>
      <c r="B1173" s="6" t="s">
        <v>84</v>
      </c>
      <c r="C1173" s="6">
        <v>2017</v>
      </c>
      <c r="D1173" s="6" t="s">
        <v>0</v>
      </c>
      <c r="E1173" s="6" t="s">
        <v>5</v>
      </c>
      <c r="F1173" s="7">
        <v>126</v>
      </c>
    </row>
    <row r="1174" spans="1:6" ht="28" x14ac:dyDescent="0.3">
      <c r="A1174" s="6" t="s">
        <v>12</v>
      </c>
      <c r="B1174" s="6" t="s">
        <v>85</v>
      </c>
      <c r="C1174" s="6">
        <v>2017</v>
      </c>
      <c r="D1174" s="6" t="s">
        <v>0</v>
      </c>
      <c r="E1174" s="6" t="s">
        <v>5</v>
      </c>
      <c r="F1174" s="7">
        <v>1479</v>
      </c>
    </row>
    <row r="1175" spans="1:6" ht="28" x14ac:dyDescent="0.3">
      <c r="A1175" s="6" t="s">
        <v>12</v>
      </c>
      <c r="B1175" s="6" t="s">
        <v>86</v>
      </c>
      <c r="C1175" s="6">
        <v>2017</v>
      </c>
      <c r="D1175" s="6" t="s">
        <v>0</v>
      </c>
      <c r="E1175" s="6" t="s">
        <v>5</v>
      </c>
      <c r="F1175" s="7">
        <v>49</v>
      </c>
    </row>
    <row r="1176" spans="1:6" ht="28" x14ac:dyDescent="0.3">
      <c r="A1176" s="6" t="s">
        <v>12</v>
      </c>
      <c r="B1176" s="6" t="s">
        <v>87</v>
      </c>
      <c r="C1176" s="6">
        <v>2017</v>
      </c>
      <c r="D1176" s="6" t="s">
        <v>0</v>
      </c>
      <c r="E1176" s="6" t="s">
        <v>5</v>
      </c>
      <c r="F1176" s="7">
        <v>198</v>
      </c>
    </row>
    <row r="1177" spans="1:6" ht="28" x14ac:dyDescent="0.3">
      <c r="A1177" s="6" t="s">
        <v>12</v>
      </c>
      <c r="B1177" s="6" t="s">
        <v>88</v>
      </c>
      <c r="C1177" s="6">
        <v>2017</v>
      </c>
      <c r="D1177" s="6" t="s">
        <v>0</v>
      </c>
      <c r="E1177" s="6" t="s">
        <v>5</v>
      </c>
      <c r="F1177" s="7">
        <v>777</v>
      </c>
    </row>
    <row r="1178" spans="1:6" ht="28" x14ac:dyDescent="0.3">
      <c r="A1178" s="6" t="s">
        <v>13</v>
      </c>
      <c r="B1178" s="6" t="s">
        <v>89</v>
      </c>
      <c r="C1178" s="6">
        <v>2017</v>
      </c>
      <c r="D1178" s="6" t="s">
        <v>0</v>
      </c>
      <c r="E1178" s="6" t="s">
        <v>5</v>
      </c>
      <c r="F1178" s="7">
        <v>29</v>
      </c>
    </row>
    <row r="1179" spans="1:6" ht="28" x14ac:dyDescent="0.3">
      <c r="A1179" s="6" t="s">
        <v>13</v>
      </c>
      <c r="B1179" s="6" t="s">
        <v>98</v>
      </c>
      <c r="C1179" s="6">
        <v>2017</v>
      </c>
      <c r="D1179" s="6" t="s">
        <v>0</v>
      </c>
      <c r="E1179" s="6" t="s">
        <v>5</v>
      </c>
      <c r="F1179" s="7">
        <v>28</v>
      </c>
    </row>
    <row r="1180" spans="1:6" ht="28" x14ac:dyDescent="0.3">
      <c r="A1180" s="6" t="s">
        <v>13</v>
      </c>
      <c r="B1180" s="6" t="s">
        <v>99</v>
      </c>
      <c r="C1180" s="6">
        <v>2017</v>
      </c>
      <c r="D1180" s="6" t="s">
        <v>0</v>
      </c>
      <c r="E1180" s="6" t="s">
        <v>5</v>
      </c>
      <c r="F1180" s="7">
        <v>84</v>
      </c>
    </row>
    <row r="1181" spans="1:6" ht="28" x14ac:dyDescent="0.3">
      <c r="A1181" s="6" t="s">
        <v>13</v>
      </c>
      <c r="B1181" s="6" t="s">
        <v>90</v>
      </c>
      <c r="C1181" s="6">
        <v>2017</v>
      </c>
      <c r="D1181" s="6" t="s">
        <v>0</v>
      </c>
      <c r="E1181" s="6" t="s">
        <v>5</v>
      </c>
      <c r="F1181" s="7">
        <v>366</v>
      </c>
    </row>
    <row r="1182" spans="1:6" ht="28" x14ac:dyDescent="0.3">
      <c r="A1182" s="6" t="s">
        <v>13</v>
      </c>
      <c r="B1182" s="6" t="s">
        <v>91</v>
      </c>
      <c r="C1182" s="6">
        <v>2017</v>
      </c>
      <c r="D1182" s="6" t="s">
        <v>0</v>
      </c>
      <c r="E1182" s="6" t="s">
        <v>5</v>
      </c>
      <c r="F1182" s="7">
        <v>108</v>
      </c>
    </row>
    <row r="1183" spans="1:6" ht="28" x14ac:dyDescent="0.3">
      <c r="A1183" s="6" t="s">
        <v>13</v>
      </c>
      <c r="B1183" s="6" t="s">
        <v>92</v>
      </c>
      <c r="C1183" s="6">
        <v>2017</v>
      </c>
      <c r="D1183" s="6" t="s">
        <v>0</v>
      </c>
      <c r="E1183" s="6" t="s">
        <v>5</v>
      </c>
      <c r="F1183" s="7">
        <v>54</v>
      </c>
    </row>
    <row r="1184" spans="1:6" ht="28" x14ac:dyDescent="0.3">
      <c r="A1184" s="6" t="s">
        <v>13</v>
      </c>
      <c r="B1184" s="6" t="s">
        <v>93</v>
      </c>
      <c r="C1184" s="6">
        <v>2017</v>
      </c>
      <c r="D1184" s="6" t="s">
        <v>0</v>
      </c>
      <c r="E1184" s="6" t="s">
        <v>5</v>
      </c>
      <c r="F1184" s="7">
        <v>35</v>
      </c>
    </row>
    <row r="1185" spans="1:6" ht="28" x14ac:dyDescent="0.3">
      <c r="A1185" s="6" t="s">
        <v>13</v>
      </c>
      <c r="B1185" s="6" t="s">
        <v>94</v>
      </c>
      <c r="C1185" s="6">
        <v>2017</v>
      </c>
      <c r="D1185" s="6" t="s">
        <v>0</v>
      </c>
      <c r="E1185" s="6" t="s">
        <v>5</v>
      </c>
      <c r="F1185" s="7">
        <v>7</v>
      </c>
    </row>
    <row r="1186" spans="1:6" ht="28" x14ac:dyDescent="0.3">
      <c r="A1186" s="6" t="s">
        <v>13</v>
      </c>
      <c r="B1186" s="6" t="s">
        <v>95</v>
      </c>
      <c r="C1186" s="6">
        <v>2017</v>
      </c>
      <c r="D1186" s="6" t="s">
        <v>0</v>
      </c>
      <c r="E1186" s="6" t="s">
        <v>5</v>
      </c>
      <c r="F1186" s="7">
        <v>51</v>
      </c>
    </row>
    <row r="1187" spans="1:6" ht="28" x14ac:dyDescent="0.3">
      <c r="A1187" s="6" t="s">
        <v>13</v>
      </c>
      <c r="B1187" s="6" t="s">
        <v>96</v>
      </c>
      <c r="C1187" s="6">
        <v>2017</v>
      </c>
      <c r="D1187" s="6" t="s">
        <v>0</v>
      </c>
      <c r="E1187" s="6" t="s">
        <v>5</v>
      </c>
      <c r="F1187" s="7">
        <v>341</v>
      </c>
    </row>
    <row r="1188" spans="1:6" ht="28" x14ac:dyDescent="0.3">
      <c r="A1188" s="6" t="s">
        <v>13</v>
      </c>
      <c r="B1188" s="6" t="s">
        <v>97</v>
      </c>
      <c r="C1188" s="6">
        <v>2017</v>
      </c>
      <c r="D1188" s="6" t="s">
        <v>0</v>
      </c>
      <c r="E1188" s="6" t="s">
        <v>5</v>
      </c>
      <c r="F1188" s="7">
        <v>118</v>
      </c>
    </row>
    <row r="1189" spans="1:6" ht="28" x14ac:dyDescent="0.3">
      <c r="A1189" s="6" t="s">
        <v>14</v>
      </c>
      <c r="B1189" s="6" t="s">
        <v>100</v>
      </c>
      <c r="C1189" s="6">
        <v>2017</v>
      </c>
      <c r="D1189" s="6" t="s">
        <v>0</v>
      </c>
      <c r="E1189" s="6" t="s">
        <v>5</v>
      </c>
      <c r="F1189" s="7">
        <v>464</v>
      </c>
    </row>
    <row r="1190" spans="1:6" ht="28" x14ac:dyDescent="0.3">
      <c r="A1190" s="6" t="s">
        <v>14</v>
      </c>
      <c r="B1190" s="6" t="s">
        <v>101</v>
      </c>
      <c r="C1190" s="6">
        <v>2017</v>
      </c>
      <c r="D1190" s="6" t="s">
        <v>0</v>
      </c>
      <c r="E1190" s="6" t="s">
        <v>5</v>
      </c>
      <c r="F1190" s="7">
        <v>58</v>
      </c>
    </row>
    <row r="1191" spans="1:6" ht="28" x14ac:dyDescent="0.3">
      <c r="A1191" s="6" t="s">
        <v>14</v>
      </c>
      <c r="B1191" s="6" t="s">
        <v>102</v>
      </c>
      <c r="C1191" s="6">
        <v>2017</v>
      </c>
      <c r="D1191" s="6" t="s">
        <v>0</v>
      </c>
      <c r="E1191" s="6" t="s">
        <v>5</v>
      </c>
      <c r="F1191" s="7">
        <v>1262</v>
      </c>
    </row>
    <row r="1192" spans="1:6" ht="28" x14ac:dyDescent="0.3">
      <c r="A1192" s="6" t="s">
        <v>14</v>
      </c>
      <c r="B1192" s="6" t="s">
        <v>103</v>
      </c>
      <c r="C1192" s="6">
        <v>2017</v>
      </c>
      <c r="D1192" s="6" t="s">
        <v>0</v>
      </c>
      <c r="E1192" s="6" t="s">
        <v>5</v>
      </c>
      <c r="F1192" s="7">
        <v>307</v>
      </c>
    </row>
    <row r="1193" spans="1:6" ht="28" x14ac:dyDescent="0.3">
      <c r="A1193" s="6" t="s">
        <v>14</v>
      </c>
      <c r="B1193" s="6" t="s">
        <v>104</v>
      </c>
      <c r="C1193" s="6">
        <v>2017</v>
      </c>
      <c r="D1193" s="6" t="s">
        <v>0</v>
      </c>
      <c r="E1193" s="6" t="s">
        <v>5</v>
      </c>
      <c r="F1193" s="7">
        <v>1743</v>
      </c>
    </row>
    <row r="1194" spans="1:6" ht="28" x14ac:dyDescent="0.3">
      <c r="A1194" s="6" t="s">
        <v>14</v>
      </c>
      <c r="B1194" s="6" t="s">
        <v>105</v>
      </c>
      <c r="C1194" s="6">
        <v>2017</v>
      </c>
      <c r="D1194" s="6" t="s">
        <v>0</v>
      </c>
      <c r="E1194" s="6" t="s">
        <v>5</v>
      </c>
      <c r="F1194" s="7">
        <v>1873</v>
      </c>
    </row>
    <row r="1195" spans="1:6" ht="28" x14ac:dyDescent="0.3">
      <c r="A1195" s="6" t="s">
        <v>15</v>
      </c>
      <c r="B1195" s="6" t="s">
        <v>106</v>
      </c>
      <c r="C1195" s="6">
        <v>2017</v>
      </c>
      <c r="D1195" s="6" t="s">
        <v>0</v>
      </c>
      <c r="E1195" s="6" t="s">
        <v>5</v>
      </c>
      <c r="F1195" s="7">
        <v>412</v>
      </c>
    </row>
    <row r="1196" spans="1:6" ht="28" x14ac:dyDescent="0.3">
      <c r="A1196" s="6" t="s">
        <v>15</v>
      </c>
      <c r="B1196" s="6" t="s">
        <v>107</v>
      </c>
      <c r="C1196" s="6">
        <v>2017</v>
      </c>
      <c r="D1196" s="6" t="s">
        <v>0</v>
      </c>
      <c r="E1196" s="6" t="s">
        <v>5</v>
      </c>
      <c r="F1196" s="7">
        <v>15</v>
      </c>
    </row>
    <row r="1197" spans="1:6" ht="28" x14ac:dyDescent="0.3">
      <c r="A1197" s="6" t="s">
        <v>15</v>
      </c>
      <c r="B1197" s="6" t="s">
        <v>108</v>
      </c>
      <c r="C1197" s="6">
        <v>2017</v>
      </c>
      <c r="D1197" s="6" t="s">
        <v>0</v>
      </c>
      <c r="E1197" s="6" t="s">
        <v>5</v>
      </c>
      <c r="F1197" s="7">
        <v>284</v>
      </c>
    </row>
    <row r="1198" spans="1:6" ht="28" x14ac:dyDescent="0.3">
      <c r="A1198" s="6" t="s">
        <v>6</v>
      </c>
      <c r="B1198" s="6" t="s">
        <v>17</v>
      </c>
      <c r="C1198" s="6">
        <v>2017</v>
      </c>
      <c r="D1198" s="6" t="s">
        <v>0</v>
      </c>
      <c r="E1198" s="6" t="s">
        <v>4</v>
      </c>
      <c r="F1198" s="7">
        <v>109</v>
      </c>
    </row>
    <row r="1199" spans="1:6" ht="28" x14ac:dyDescent="0.3">
      <c r="A1199" s="6" t="s">
        <v>6</v>
      </c>
      <c r="B1199" s="6" t="s">
        <v>18</v>
      </c>
      <c r="C1199" s="6">
        <v>2017</v>
      </c>
      <c r="D1199" s="6" t="s">
        <v>0</v>
      </c>
      <c r="E1199" s="6" t="s">
        <v>4</v>
      </c>
      <c r="F1199" s="7">
        <v>2154</v>
      </c>
    </row>
    <row r="1200" spans="1:6" ht="28" x14ac:dyDescent="0.3">
      <c r="A1200" s="6" t="s">
        <v>6</v>
      </c>
      <c r="B1200" s="6" t="s">
        <v>19</v>
      </c>
      <c r="C1200" s="6">
        <v>2017</v>
      </c>
      <c r="D1200" s="6" t="s">
        <v>0</v>
      </c>
      <c r="E1200" s="6" t="s">
        <v>4</v>
      </c>
      <c r="F1200" s="7">
        <v>24</v>
      </c>
    </row>
    <row r="1201" spans="1:6" ht="28" x14ac:dyDescent="0.3">
      <c r="A1201" s="6" t="s">
        <v>6</v>
      </c>
      <c r="B1201" s="6" t="s">
        <v>20</v>
      </c>
      <c r="C1201" s="6">
        <v>2017</v>
      </c>
      <c r="D1201" s="6" t="s">
        <v>0</v>
      </c>
      <c r="E1201" s="6" t="s">
        <v>4</v>
      </c>
      <c r="F1201" s="7">
        <v>14813</v>
      </c>
    </row>
    <row r="1202" spans="1:6" ht="28" x14ac:dyDescent="0.3">
      <c r="A1202" s="6" t="s">
        <v>7</v>
      </c>
      <c r="B1202" s="6" t="s">
        <v>21</v>
      </c>
      <c r="C1202" s="6">
        <v>2017</v>
      </c>
      <c r="D1202" s="6" t="s">
        <v>0</v>
      </c>
      <c r="E1202" s="6" t="s">
        <v>4</v>
      </c>
      <c r="F1202" s="7">
        <v>3209</v>
      </c>
    </row>
    <row r="1203" spans="1:6" ht="28" x14ac:dyDescent="0.3">
      <c r="A1203" s="6" t="s">
        <v>7</v>
      </c>
      <c r="B1203" s="6" t="s">
        <v>22</v>
      </c>
      <c r="C1203" s="6">
        <v>2017</v>
      </c>
      <c r="D1203" s="6" t="s">
        <v>0</v>
      </c>
      <c r="E1203" s="6" t="s">
        <v>4</v>
      </c>
      <c r="F1203" s="7">
        <v>17</v>
      </c>
    </row>
    <row r="1204" spans="1:6" ht="28" x14ac:dyDescent="0.3">
      <c r="A1204" s="6" t="s">
        <v>7</v>
      </c>
      <c r="B1204" s="6" t="s">
        <v>23</v>
      </c>
      <c r="C1204" s="6">
        <v>2017</v>
      </c>
      <c r="D1204" s="6" t="s">
        <v>0</v>
      </c>
      <c r="E1204" s="6" t="s">
        <v>4</v>
      </c>
      <c r="F1204" s="7">
        <v>32</v>
      </c>
    </row>
    <row r="1205" spans="1:6" ht="28" x14ac:dyDescent="0.3">
      <c r="A1205" s="6" t="s">
        <v>8</v>
      </c>
      <c r="B1205" s="6" t="s">
        <v>24</v>
      </c>
      <c r="C1205" s="6">
        <v>2017</v>
      </c>
      <c r="D1205" s="6" t="s">
        <v>0</v>
      </c>
      <c r="E1205" s="6" t="s">
        <v>4</v>
      </c>
      <c r="F1205" s="7">
        <v>2345</v>
      </c>
    </row>
    <row r="1206" spans="1:6" ht="28" x14ac:dyDescent="0.3">
      <c r="A1206" s="6" t="s">
        <v>8</v>
      </c>
      <c r="B1206" s="6" t="s">
        <v>25</v>
      </c>
      <c r="C1206" s="6">
        <v>2017</v>
      </c>
      <c r="D1206" s="6" t="s">
        <v>0</v>
      </c>
      <c r="E1206" s="6" t="s">
        <v>4</v>
      </c>
      <c r="F1206" s="7">
        <v>558</v>
      </c>
    </row>
    <row r="1207" spans="1:6" ht="28" x14ac:dyDescent="0.3">
      <c r="A1207" s="6" t="s">
        <v>9</v>
      </c>
      <c r="B1207" s="6" t="s">
        <v>26</v>
      </c>
      <c r="C1207" s="6">
        <v>2017</v>
      </c>
      <c r="D1207" s="6" t="s">
        <v>0</v>
      </c>
      <c r="E1207" s="6" t="s">
        <v>4</v>
      </c>
      <c r="F1207" s="7">
        <v>36</v>
      </c>
    </row>
    <row r="1208" spans="1:6" ht="28" x14ac:dyDescent="0.3">
      <c r="A1208" s="6" t="s">
        <v>9</v>
      </c>
      <c r="B1208" s="6" t="s">
        <v>35</v>
      </c>
      <c r="C1208" s="6">
        <v>2017</v>
      </c>
      <c r="D1208" s="6" t="s">
        <v>0</v>
      </c>
      <c r="E1208" s="6" t="s">
        <v>4</v>
      </c>
      <c r="F1208" s="7">
        <v>24</v>
      </c>
    </row>
    <row r="1209" spans="1:6" ht="28" x14ac:dyDescent="0.3">
      <c r="A1209" s="6" t="s">
        <v>9</v>
      </c>
      <c r="B1209" s="6" t="s">
        <v>36</v>
      </c>
      <c r="C1209" s="6">
        <v>2017</v>
      </c>
      <c r="D1209" s="6" t="s">
        <v>0</v>
      </c>
      <c r="E1209" s="6" t="s">
        <v>4</v>
      </c>
      <c r="F1209" s="7">
        <v>36</v>
      </c>
    </row>
    <row r="1210" spans="1:6" ht="28" x14ac:dyDescent="0.3">
      <c r="A1210" s="6" t="s">
        <v>9</v>
      </c>
      <c r="B1210" s="6" t="s">
        <v>37</v>
      </c>
      <c r="C1210" s="6">
        <v>2017</v>
      </c>
      <c r="D1210" s="6" t="s">
        <v>0</v>
      </c>
      <c r="E1210" s="6" t="s">
        <v>4</v>
      </c>
      <c r="F1210" s="7">
        <v>28</v>
      </c>
    </row>
    <row r="1211" spans="1:6" ht="28" x14ac:dyDescent="0.3">
      <c r="A1211" s="6" t="s">
        <v>9</v>
      </c>
      <c r="B1211" s="6" t="s">
        <v>38</v>
      </c>
      <c r="C1211" s="6">
        <v>2017</v>
      </c>
      <c r="D1211" s="6" t="s">
        <v>0</v>
      </c>
      <c r="E1211" s="6" t="s">
        <v>4</v>
      </c>
      <c r="F1211" s="7">
        <v>1219</v>
      </c>
    </row>
    <row r="1212" spans="1:6" ht="28" x14ac:dyDescent="0.3">
      <c r="A1212" s="6" t="s">
        <v>9</v>
      </c>
      <c r="B1212" s="6" t="s">
        <v>39</v>
      </c>
      <c r="C1212" s="6">
        <v>2017</v>
      </c>
      <c r="D1212" s="6" t="s">
        <v>0</v>
      </c>
      <c r="E1212" s="6" t="s">
        <v>4</v>
      </c>
      <c r="F1212" s="7">
        <v>22</v>
      </c>
    </row>
    <row r="1213" spans="1:6" ht="28" x14ac:dyDescent="0.3">
      <c r="A1213" s="6" t="s">
        <v>9</v>
      </c>
      <c r="B1213" s="6" t="s">
        <v>40</v>
      </c>
      <c r="C1213" s="6">
        <v>2017</v>
      </c>
      <c r="D1213" s="6" t="s">
        <v>0</v>
      </c>
      <c r="E1213" s="6" t="s">
        <v>4</v>
      </c>
      <c r="F1213" s="7">
        <v>69</v>
      </c>
    </row>
    <row r="1214" spans="1:6" ht="28" x14ac:dyDescent="0.3">
      <c r="A1214" s="6" t="s">
        <v>9</v>
      </c>
      <c r="B1214" s="6" t="s">
        <v>41</v>
      </c>
      <c r="C1214" s="6">
        <v>2017</v>
      </c>
      <c r="D1214" s="6" t="s">
        <v>0</v>
      </c>
      <c r="E1214" s="6" t="s">
        <v>4</v>
      </c>
      <c r="F1214" s="7">
        <v>1720</v>
      </c>
    </row>
    <row r="1215" spans="1:6" ht="28" x14ac:dyDescent="0.3">
      <c r="A1215" s="6" t="s">
        <v>9</v>
      </c>
      <c r="B1215" s="6" t="s">
        <v>42</v>
      </c>
      <c r="C1215" s="6">
        <v>2017</v>
      </c>
      <c r="D1215" s="6" t="s">
        <v>0</v>
      </c>
      <c r="E1215" s="6" t="s">
        <v>4</v>
      </c>
      <c r="F1215" s="7">
        <v>2195</v>
      </c>
    </row>
    <row r="1216" spans="1:6" ht="28" x14ac:dyDescent="0.3">
      <c r="A1216" s="6" t="s">
        <v>9</v>
      </c>
      <c r="B1216" s="6" t="s">
        <v>43</v>
      </c>
      <c r="C1216" s="6">
        <v>2017</v>
      </c>
      <c r="D1216" s="6" t="s">
        <v>0</v>
      </c>
      <c r="E1216" s="6" t="s">
        <v>4</v>
      </c>
      <c r="F1216" s="7">
        <v>1193</v>
      </c>
    </row>
    <row r="1217" spans="1:6" ht="28" x14ac:dyDescent="0.3">
      <c r="A1217" s="6" t="s">
        <v>9</v>
      </c>
      <c r="B1217" s="6" t="s">
        <v>44</v>
      </c>
      <c r="C1217" s="6">
        <v>2017</v>
      </c>
      <c r="D1217" s="6" t="s">
        <v>0</v>
      </c>
      <c r="E1217" s="6" t="s">
        <v>4</v>
      </c>
      <c r="F1217" s="7">
        <v>343</v>
      </c>
    </row>
    <row r="1218" spans="1:6" ht="28" x14ac:dyDescent="0.3">
      <c r="A1218" s="6" t="s">
        <v>9</v>
      </c>
      <c r="B1218" s="6" t="s">
        <v>27</v>
      </c>
      <c r="C1218" s="6">
        <v>2017</v>
      </c>
      <c r="D1218" s="6" t="s">
        <v>0</v>
      </c>
      <c r="E1218" s="6" t="s">
        <v>4</v>
      </c>
      <c r="F1218" s="7">
        <v>97</v>
      </c>
    </row>
    <row r="1219" spans="1:6" ht="28" x14ac:dyDescent="0.3">
      <c r="A1219" s="6" t="s">
        <v>9</v>
      </c>
      <c r="B1219" s="6" t="s">
        <v>45</v>
      </c>
      <c r="C1219" s="6">
        <v>2017</v>
      </c>
      <c r="D1219" s="6" t="s">
        <v>0</v>
      </c>
      <c r="E1219" s="6" t="s">
        <v>4</v>
      </c>
      <c r="F1219" s="7">
        <v>6</v>
      </c>
    </row>
    <row r="1220" spans="1:6" ht="28" x14ac:dyDescent="0.3">
      <c r="A1220" s="6" t="s">
        <v>9</v>
      </c>
      <c r="B1220" s="6" t="s">
        <v>46</v>
      </c>
      <c r="C1220" s="6">
        <v>2017</v>
      </c>
      <c r="D1220" s="6" t="s">
        <v>0</v>
      </c>
      <c r="E1220" s="6" t="s">
        <v>4</v>
      </c>
      <c r="F1220" s="7">
        <v>657</v>
      </c>
    </row>
    <row r="1221" spans="1:6" ht="28" x14ac:dyDescent="0.3">
      <c r="A1221" s="6" t="s">
        <v>9</v>
      </c>
      <c r="B1221" s="6" t="s">
        <v>47</v>
      </c>
      <c r="C1221" s="6">
        <v>2017</v>
      </c>
      <c r="D1221" s="6" t="s">
        <v>0</v>
      </c>
      <c r="E1221" s="6" t="s">
        <v>4</v>
      </c>
      <c r="F1221" s="7">
        <v>241</v>
      </c>
    </row>
    <row r="1222" spans="1:6" ht="28" x14ac:dyDescent="0.3">
      <c r="A1222" s="6" t="s">
        <v>9</v>
      </c>
      <c r="B1222" s="6" t="s">
        <v>48</v>
      </c>
      <c r="C1222" s="6">
        <v>2017</v>
      </c>
      <c r="D1222" s="6" t="s">
        <v>0</v>
      </c>
      <c r="E1222" s="6" t="s">
        <v>4</v>
      </c>
      <c r="F1222" s="7">
        <v>497</v>
      </c>
    </row>
    <row r="1223" spans="1:6" ht="28" x14ac:dyDescent="0.3">
      <c r="A1223" s="6" t="s">
        <v>9</v>
      </c>
      <c r="B1223" s="6" t="s">
        <v>49</v>
      </c>
      <c r="C1223" s="6">
        <v>2017</v>
      </c>
      <c r="D1223" s="6" t="s">
        <v>0</v>
      </c>
      <c r="E1223" s="6" t="s">
        <v>4</v>
      </c>
      <c r="F1223" s="7">
        <v>1073</v>
      </c>
    </row>
    <row r="1224" spans="1:6" ht="28" x14ac:dyDescent="0.3">
      <c r="A1224" s="6" t="s">
        <v>9</v>
      </c>
      <c r="B1224" s="6" t="s">
        <v>50</v>
      </c>
      <c r="C1224" s="6">
        <v>2017</v>
      </c>
      <c r="D1224" s="6" t="s">
        <v>0</v>
      </c>
      <c r="E1224" s="6" t="s">
        <v>4</v>
      </c>
      <c r="F1224" s="7">
        <v>813</v>
      </c>
    </row>
    <row r="1225" spans="1:6" ht="28" x14ac:dyDescent="0.3">
      <c r="A1225" s="6" t="s">
        <v>9</v>
      </c>
      <c r="B1225" s="6" t="s">
        <v>51</v>
      </c>
      <c r="C1225" s="6">
        <v>2017</v>
      </c>
      <c r="D1225" s="6" t="s">
        <v>0</v>
      </c>
      <c r="E1225" s="6" t="s">
        <v>4</v>
      </c>
      <c r="F1225" s="7">
        <v>2297</v>
      </c>
    </row>
    <row r="1226" spans="1:6" ht="28" x14ac:dyDescent="0.3">
      <c r="A1226" s="6" t="s">
        <v>9</v>
      </c>
      <c r="B1226" s="6" t="s">
        <v>52</v>
      </c>
      <c r="C1226" s="6">
        <v>2017</v>
      </c>
      <c r="D1226" s="6" t="s">
        <v>0</v>
      </c>
      <c r="E1226" s="6" t="s">
        <v>4</v>
      </c>
      <c r="F1226" s="7">
        <v>2644</v>
      </c>
    </row>
    <row r="1227" spans="1:6" ht="28" x14ac:dyDescent="0.3">
      <c r="A1227" s="6" t="s">
        <v>9</v>
      </c>
      <c r="B1227" s="6" t="s">
        <v>53</v>
      </c>
      <c r="C1227" s="6">
        <v>2017</v>
      </c>
      <c r="D1227" s="6" t="s">
        <v>0</v>
      </c>
      <c r="E1227" s="6" t="s">
        <v>4</v>
      </c>
      <c r="F1227" s="7">
        <v>2351</v>
      </c>
    </row>
    <row r="1228" spans="1:6" ht="28" x14ac:dyDescent="0.3">
      <c r="A1228" s="6" t="s">
        <v>9</v>
      </c>
      <c r="B1228" s="6" t="s">
        <v>54</v>
      </c>
      <c r="C1228" s="6">
        <v>2017</v>
      </c>
      <c r="D1228" s="6" t="s">
        <v>0</v>
      </c>
      <c r="E1228" s="6" t="s">
        <v>4</v>
      </c>
      <c r="F1228" s="7">
        <v>352</v>
      </c>
    </row>
    <row r="1229" spans="1:6" ht="28" x14ac:dyDescent="0.3">
      <c r="A1229" s="6" t="s">
        <v>9</v>
      </c>
      <c r="B1229" s="6" t="s">
        <v>28</v>
      </c>
      <c r="C1229" s="6">
        <v>2017</v>
      </c>
      <c r="D1229" s="6" t="s">
        <v>0</v>
      </c>
      <c r="E1229" s="6" t="s">
        <v>4</v>
      </c>
      <c r="F1229" s="7">
        <v>2957</v>
      </c>
    </row>
    <row r="1230" spans="1:6" ht="28" x14ac:dyDescent="0.3">
      <c r="A1230" s="6" t="s">
        <v>9</v>
      </c>
      <c r="B1230" s="6" t="s">
        <v>55</v>
      </c>
      <c r="C1230" s="6">
        <v>2017</v>
      </c>
      <c r="D1230" s="6" t="s">
        <v>0</v>
      </c>
      <c r="E1230" s="6" t="s">
        <v>4</v>
      </c>
      <c r="F1230" s="7">
        <v>840</v>
      </c>
    </row>
    <row r="1231" spans="1:6" ht="28" x14ac:dyDescent="0.3">
      <c r="A1231" s="6" t="s">
        <v>9</v>
      </c>
      <c r="B1231" s="6" t="s">
        <v>56</v>
      </c>
      <c r="C1231" s="6">
        <v>2017</v>
      </c>
      <c r="D1231" s="6" t="s">
        <v>0</v>
      </c>
      <c r="E1231" s="6" t="s">
        <v>4</v>
      </c>
      <c r="F1231" s="7">
        <v>2444</v>
      </c>
    </row>
    <row r="1232" spans="1:6" ht="28" x14ac:dyDescent="0.3">
      <c r="A1232" s="6" t="s">
        <v>9</v>
      </c>
      <c r="B1232" s="6" t="s">
        <v>57</v>
      </c>
      <c r="C1232" s="6">
        <v>2017</v>
      </c>
      <c r="D1232" s="6" t="s">
        <v>0</v>
      </c>
      <c r="E1232" s="6" t="s">
        <v>4</v>
      </c>
      <c r="F1232" s="7">
        <v>1006</v>
      </c>
    </row>
    <row r="1233" spans="1:6" ht="28" x14ac:dyDescent="0.3">
      <c r="A1233" s="6" t="s">
        <v>9</v>
      </c>
      <c r="B1233" s="6" t="s">
        <v>58</v>
      </c>
      <c r="C1233" s="6">
        <v>2017</v>
      </c>
      <c r="D1233" s="6" t="s">
        <v>0</v>
      </c>
      <c r="E1233" s="6" t="s">
        <v>4</v>
      </c>
      <c r="F1233" s="7">
        <v>2854</v>
      </c>
    </row>
    <row r="1234" spans="1:6" ht="28" x14ac:dyDescent="0.3">
      <c r="A1234" s="6" t="s">
        <v>9</v>
      </c>
      <c r="B1234" s="6" t="s">
        <v>29</v>
      </c>
      <c r="C1234" s="6">
        <v>2017</v>
      </c>
      <c r="D1234" s="6" t="s">
        <v>0</v>
      </c>
      <c r="E1234" s="6" t="s">
        <v>4</v>
      </c>
      <c r="F1234" s="7">
        <v>13</v>
      </c>
    </row>
    <row r="1235" spans="1:6" ht="28" x14ac:dyDescent="0.3">
      <c r="A1235" s="6" t="s">
        <v>9</v>
      </c>
      <c r="B1235" s="6" t="s">
        <v>30</v>
      </c>
      <c r="C1235" s="6">
        <v>2017</v>
      </c>
      <c r="D1235" s="6" t="s">
        <v>0</v>
      </c>
      <c r="E1235" s="6" t="s">
        <v>4</v>
      </c>
      <c r="F1235" s="7">
        <v>46</v>
      </c>
    </row>
    <row r="1236" spans="1:6" ht="28" x14ac:dyDescent="0.3">
      <c r="A1236" s="6" t="s">
        <v>9</v>
      </c>
      <c r="B1236" s="6" t="s">
        <v>31</v>
      </c>
      <c r="C1236" s="6">
        <v>2017</v>
      </c>
      <c r="D1236" s="6" t="s">
        <v>0</v>
      </c>
      <c r="E1236" s="6" t="s">
        <v>4</v>
      </c>
      <c r="F1236" s="7">
        <v>1088</v>
      </c>
    </row>
    <row r="1237" spans="1:6" ht="28" x14ac:dyDescent="0.3">
      <c r="A1237" s="6" t="s">
        <v>9</v>
      </c>
      <c r="B1237" s="6" t="s">
        <v>32</v>
      </c>
      <c r="C1237" s="6">
        <v>2017</v>
      </c>
      <c r="D1237" s="6" t="s">
        <v>0</v>
      </c>
      <c r="E1237" s="6" t="s">
        <v>4</v>
      </c>
      <c r="F1237" s="7">
        <v>28</v>
      </c>
    </row>
    <row r="1238" spans="1:6" ht="28" x14ac:dyDescent="0.3">
      <c r="A1238" s="6" t="s">
        <v>9</v>
      </c>
      <c r="B1238" s="6" t="s">
        <v>33</v>
      </c>
      <c r="C1238" s="6">
        <v>2017</v>
      </c>
      <c r="D1238" s="6" t="s">
        <v>0</v>
      </c>
      <c r="E1238" s="6" t="s">
        <v>4</v>
      </c>
      <c r="F1238" s="7">
        <v>411</v>
      </c>
    </row>
    <row r="1239" spans="1:6" ht="28" x14ac:dyDescent="0.3">
      <c r="A1239" s="6" t="s">
        <v>9</v>
      </c>
      <c r="B1239" s="6" t="s">
        <v>34</v>
      </c>
      <c r="C1239" s="6">
        <v>2017</v>
      </c>
      <c r="D1239" s="6" t="s">
        <v>0</v>
      </c>
      <c r="E1239" s="6" t="s">
        <v>4</v>
      </c>
      <c r="F1239" s="7">
        <v>153</v>
      </c>
    </row>
    <row r="1240" spans="1:6" ht="28" x14ac:dyDescent="0.3">
      <c r="A1240" s="6" t="s">
        <v>10</v>
      </c>
      <c r="B1240" s="6" t="s">
        <v>59</v>
      </c>
      <c r="C1240" s="6">
        <v>2017</v>
      </c>
      <c r="D1240" s="6" t="s">
        <v>0</v>
      </c>
      <c r="E1240" s="6" t="s">
        <v>4</v>
      </c>
      <c r="F1240" s="7">
        <v>2084</v>
      </c>
    </row>
    <row r="1241" spans="1:6" ht="28" x14ac:dyDescent="0.3">
      <c r="A1241" s="6" t="s">
        <v>10</v>
      </c>
      <c r="B1241" s="6" t="s">
        <v>60</v>
      </c>
      <c r="C1241" s="6">
        <v>2017</v>
      </c>
      <c r="D1241" s="6" t="s">
        <v>0</v>
      </c>
      <c r="E1241" s="6" t="s">
        <v>4</v>
      </c>
      <c r="F1241" s="7">
        <v>506</v>
      </c>
    </row>
    <row r="1242" spans="1:6" ht="28" x14ac:dyDescent="0.3">
      <c r="A1242" s="6" t="s">
        <v>10</v>
      </c>
      <c r="B1242" s="6" t="s">
        <v>61</v>
      </c>
      <c r="C1242" s="6">
        <v>2017</v>
      </c>
      <c r="D1242" s="6" t="s">
        <v>0</v>
      </c>
      <c r="E1242" s="6" t="s">
        <v>4</v>
      </c>
      <c r="F1242" s="7">
        <v>310</v>
      </c>
    </row>
    <row r="1243" spans="1:6" ht="28" x14ac:dyDescent="0.3">
      <c r="A1243" s="6" t="s">
        <v>10</v>
      </c>
      <c r="B1243" s="6" t="s">
        <v>62</v>
      </c>
      <c r="C1243" s="6">
        <v>2017</v>
      </c>
      <c r="D1243" s="6" t="s">
        <v>0</v>
      </c>
      <c r="E1243" s="6" t="s">
        <v>4</v>
      </c>
      <c r="F1243" s="7">
        <v>44</v>
      </c>
    </row>
    <row r="1244" spans="1:6" ht="28" x14ac:dyDescent="0.3">
      <c r="A1244" s="6" t="s">
        <v>10</v>
      </c>
      <c r="B1244" s="6" t="s">
        <v>63</v>
      </c>
      <c r="C1244" s="6">
        <v>2017</v>
      </c>
      <c r="D1244" s="6" t="s">
        <v>0</v>
      </c>
      <c r="E1244" s="6" t="s">
        <v>4</v>
      </c>
      <c r="F1244" s="7">
        <v>371</v>
      </c>
    </row>
    <row r="1245" spans="1:6" ht="28" x14ac:dyDescent="0.3">
      <c r="A1245" s="6" t="s">
        <v>10</v>
      </c>
      <c r="B1245" s="6" t="s">
        <v>64</v>
      </c>
      <c r="C1245" s="6">
        <v>2017</v>
      </c>
      <c r="D1245" s="6" t="s">
        <v>0</v>
      </c>
      <c r="E1245" s="6" t="s">
        <v>4</v>
      </c>
      <c r="F1245" s="7">
        <v>73</v>
      </c>
    </row>
    <row r="1246" spans="1:6" ht="28" x14ac:dyDescent="0.3">
      <c r="A1246" s="6" t="s">
        <v>10</v>
      </c>
      <c r="B1246" s="6" t="s">
        <v>65</v>
      </c>
      <c r="C1246" s="6">
        <v>2017</v>
      </c>
      <c r="D1246" s="6" t="s">
        <v>0</v>
      </c>
      <c r="E1246" s="6" t="s">
        <v>4</v>
      </c>
      <c r="F1246" s="7">
        <v>3105</v>
      </c>
    </row>
    <row r="1247" spans="1:6" ht="28" x14ac:dyDescent="0.3">
      <c r="A1247" s="6" t="s">
        <v>10</v>
      </c>
      <c r="B1247" s="6" t="s">
        <v>66</v>
      </c>
      <c r="C1247" s="6">
        <v>2017</v>
      </c>
      <c r="D1247" s="6" t="s">
        <v>0</v>
      </c>
      <c r="E1247" s="6" t="s">
        <v>4</v>
      </c>
      <c r="F1247" s="7">
        <v>581</v>
      </c>
    </row>
    <row r="1248" spans="1:6" ht="28" x14ac:dyDescent="0.3">
      <c r="A1248" s="6" t="s">
        <v>11</v>
      </c>
      <c r="B1248" s="6" t="s">
        <v>67</v>
      </c>
      <c r="C1248" s="6">
        <v>2017</v>
      </c>
      <c r="D1248" s="6" t="s">
        <v>0</v>
      </c>
      <c r="E1248" s="6" t="s">
        <v>4</v>
      </c>
      <c r="F1248" s="7">
        <v>75</v>
      </c>
    </row>
    <row r="1249" spans="1:6" ht="28" x14ac:dyDescent="0.3">
      <c r="A1249" s="6" t="s">
        <v>11</v>
      </c>
      <c r="B1249" s="6" t="s">
        <v>76</v>
      </c>
      <c r="C1249" s="6">
        <v>2017</v>
      </c>
      <c r="D1249" s="6" t="s">
        <v>0</v>
      </c>
      <c r="E1249" s="6" t="s">
        <v>4</v>
      </c>
      <c r="F1249" s="7">
        <v>301</v>
      </c>
    </row>
    <row r="1250" spans="1:6" ht="28" x14ac:dyDescent="0.3">
      <c r="A1250" s="6" t="s">
        <v>11</v>
      </c>
      <c r="B1250" s="6" t="s">
        <v>77</v>
      </c>
      <c r="C1250" s="6">
        <v>2017</v>
      </c>
      <c r="D1250" s="6" t="s">
        <v>0</v>
      </c>
      <c r="E1250" s="6" t="s">
        <v>4</v>
      </c>
      <c r="F1250" s="7">
        <v>655</v>
      </c>
    </row>
    <row r="1251" spans="1:6" ht="28" x14ac:dyDescent="0.3">
      <c r="A1251" s="6" t="s">
        <v>11</v>
      </c>
      <c r="B1251" s="6" t="s">
        <v>78</v>
      </c>
      <c r="C1251" s="6">
        <v>2017</v>
      </c>
      <c r="D1251" s="6" t="s">
        <v>0</v>
      </c>
      <c r="E1251" s="6" t="s">
        <v>4</v>
      </c>
      <c r="F1251" s="7">
        <v>167</v>
      </c>
    </row>
    <row r="1252" spans="1:6" ht="28" x14ac:dyDescent="0.3">
      <c r="A1252" s="6" t="s">
        <v>11</v>
      </c>
      <c r="B1252" s="6" t="s">
        <v>79</v>
      </c>
      <c r="C1252" s="6">
        <v>2017</v>
      </c>
      <c r="D1252" s="6" t="s">
        <v>0</v>
      </c>
      <c r="E1252" s="6" t="s">
        <v>4</v>
      </c>
      <c r="F1252" s="7">
        <v>27</v>
      </c>
    </row>
    <row r="1253" spans="1:6" ht="28" x14ac:dyDescent="0.3">
      <c r="A1253" s="6" t="s">
        <v>11</v>
      </c>
      <c r="B1253" s="6" t="s">
        <v>80</v>
      </c>
      <c r="C1253" s="6">
        <v>2017</v>
      </c>
      <c r="D1253" s="6" t="s">
        <v>0</v>
      </c>
      <c r="E1253" s="6" t="s">
        <v>4</v>
      </c>
      <c r="F1253" s="7">
        <v>93</v>
      </c>
    </row>
    <row r="1254" spans="1:6" ht="28" x14ac:dyDescent="0.3">
      <c r="A1254" s="6" t="s">
        <v>11</v>
      </c>
      <c r="B1254" s="6" t="s">
        <v>68</v>
      </c>
      <c r="C1254" s="6">
        <v>2017</v>
      </c>
      <c r="D1254" s="6" t="s">
        <v>0</v>
      </c>
      <c r="E1254" s="6" t="s">
        <v>4</v>
      </c>
      <c r="F1254" s="7">
        <v>106</v>
      </c>
    </row>
    <row r="1255" spans="1:6" ht="28" x14ac:dyDescent="0.3">
      <c r="A1255" s="6" t="s">
        <v>11</v>
      </c>
      <c r="B1255" s="6" t="s">
        <v>69</v>
      </c>
      <c r="C1255" s="6">
        <v>2017</v>
      </c>
      <c r="D1255" s="6" t="s">
        <v>0</v>
      </c>
      <c r="E1255" s="6" t="s">
        <v>4</v>
      </c>
      <c r="F1255" s="7">
        <v>6807</v>
      </c>
    </row>
    <row r="1256" spans="1:6" ht="28" x14ac:dyDescent="0.3">
      <c r="A1256" s="6" t="s">
        <v>11</v>
      </c>
      <c r="B1256" s="6" t="s">
        <v>70</v>
      </c>
      <c r="C1256" s="6">
        <v>2017</v>
      </c>
      <c r="D1256" s="6" t="s">
        <v>0</v>
      </c>
      <c r="E1256" s="6" t="s">
        <v>4</v>
      </c>
      <c r="F1256" s="7">
        <v>3601</v>
      </c>
    </row>
    <row r="1257" spans="1:6" ht="28" x14ac:dyDescent="0.3">
      <c r="A1257" s="6" t="s">
        <v>11</v>
      </c>
      <c r="B1257" s="6" t="s">
        <v>71</v>
      </c>
      <c r="C1257" s="6">
        <v>2017</v>
      </c>
      <c r="D1257" s="6" t="s">
        <v>0</v>
      </c>
      <c r="E1257" s="6" t="s">
        <v>4</v>
      </c>
      <c r="F1257" s="7">
        <v>9</v>
      </c>
    </row>
    <row r="1258" spans="1:6" ht="28" x14ac:dyDescent="0.3">
      <c r="A1258" s="6" t="s">
        <v>11</v>
      </c>
      <c r="B1258" s="6" t="s">
        <v>72</v>
      </c>
      <c r="C1258" s="6">
        <v>2017</v>
      </c>
      <c r="D1258" s="6" t="s">
        <v>0</v>
      </c>
      <c r="E1258" s="6" t="s">
        <v>4</v>
      </c>
      <c r="F1258" s="7">
        <v>301</v>
      </c>
    </row>
    <row r="1259" spans="1:6" ht="28" x14ac:dyDescent="0.3">
      <c r="A1259" s="6" t="s">
        <v>11</v>
      </c>
      <c r="B1259" s="6" t="s">
        <v>73</v>
      </c>
      <c r="C1259" s="6">
        <v>2017</v>
      </c>
      <c r="D1259" s="6" t="s">
        <v>0</v>
      </c>
      <c r="E1259" s="6" t="s">
        <v>4</v>
      </c>
      <c r="F1259" s="7">
        <v>101</v>
      </c>
    </row>
    <row r="1260" spans="1:6" ht="28" x14ac:dyDescent="0.3">
      <c r="A1260" s="6" t="s">
        <v>11</v>
      </c>
      <c r="B1260" s="6" t="s">
        <v>74</v>
      </c>
      <c r="C1260" s="6">
        <v>2017</v>
      </c>
      <c r="D1260" s="6" t="s">
        <v>0</v>
      </c>
      <c r="E1260" s="6" t="s">
        <v>4</v>
      </c>
      <c r="F1260" s="7">
        <v>59</v>
      </c>
    </row>
    <row r="1261" spans="1:6" ht="28" x14ac:dyDescent="0.3">
      <c r="A1261" s="6" t="s">
        <v>11</v>
      </c>
      <c r="B1261" s="6" t="s">
        <v>75</v>
      </c>
      <c r="C1261" s="6">
        <v>2017</v>
      </c>
      <c r="D1261" s="6" t="s">
        <v>0</v>
      </c>
      <c r="E1261" s="6" t="s">
        <v>4</v>
      </c>
      <c r="F1261" s="7">
        <v>14659</v>
      </c>
    </row>
    <row r="1262" spans="1:6" ht="28" x14ac:dyDescent="0.3">
      <c r="A1262" s="6" t="s">
        <v>12</v>
      </c>
      <c r="B1262" s="6" t="s">
        <v>81</v>
      </c>
      <c r="C1262" s="6">
        <v>2017</v>
      </c>
      <c r="D1262" s="6" t="s">
        <v>0</v>
      </c>
      <c r="E1262" s="6" t="s">
        <v>4</v>
      </c>
      <c r="F1262" s="7">
        <v>66</v>
      </c>
    </row>
    <row r="1263" spans="1:6" ht="28" x14ac:dyDescent="0.3">
      <c r="A1263" s="6" t="s">
        <v>12</v>
      </c>
      <c r="B1263" s="6" t="s">
        <v>82</v>
      </c>
      <c r="C1263" s="6">
        <v>2017</v>
      </c>
      <c r="D1263" s="6" t="s">
        <v>0</v>
      </c>
      <c r="E1263" s="6" t="s">
        <v>4</v>
      </c>
      <c r="F1263" s="7">
        <v>621</v>
      </c>
    </row>
    <row r="1264" spans="1:6" ht="28" x14ac:dyDescent="0.3">
      <c r="A1264" s="6" t="s">
        <v>12</v>
      </c>
      <c r="B1264" s="6" t="s">
        <v>83</v>
      </c>
      <c r="C1264" s="6">
        <v>2017</v>
      </c>
      <c r="D1264" s="6" t="s">
        <v>0</v>
      </c>
      <c r="E1264" s="6" t="s">
        <v>4</v>
      </c>
      <c r="F1264" s="7">
        <v>281</v>
      </c>
    </row>
    <row r="1265" spans="1:6" ht="28" x14ac:dyDescent="0.3">
      <c r="A1265" s="6" t="s">
        <v>12</v>
      </c>
      <c r="B1265" s="6" t="s">
        <v>84</v>
      </c>
      <c r="C1265" s="6">
        <v>2017</v>
      </c>
      <c r="D1265" s="6" t="s">
        <v>0</v>
      </c>
      <c r="E1265" s="6" t="s">
        <v>4</v>
      </c>
      <c r="F1265" s="7">
        <v>134</v>
      </c>
    </row>
    <row r="1266" spans="1:6" ht="28" x14ac:dyDescent="0.3">
      <c r="A1266" s="6" t="s">
        <v>12</v>
      </c>
      <c r="B1266" s="6" t="s">
        <v>85</v>
      </c>
      <c r="C1266" s="6">
        <v>2017</v>
      </c>
      <c r="D1266" s="6" t="s">
        <v>0</v>
      </c>
      <c r="E1266" s="6" t="s">
        <v>4</v>
      </c>
      <c r="F1266" s="7">
        <v>2250</v>
      </c>
    </row>
    <row r="1267" spans="1:6" ht="28" x14ac:dyDescent="0.3">
      <c r="A1267" s="6" t="s">
        <v>12</v>
      </c>
      <c r="B1267" s="6" t="s">
        <v>86</v>
      </c>
      <c r="C1267" s="6">
        <v>2017</v>
      </c>
      <c r="D1267" s="6" t="s">
        <v>0</v>
      </c>
      <c r="E1267" s="6" t="s">
        <v>4</v>
      </c>
      <c r="F1267" s="7">
        <v>69</v>
      </c>
    </row>
    <row r="1268" spans="1:6" ht="28" x14ac:dyDescent="0.3">
      <c r="A1268" s="6" t="s">
        <v>12</v>
      </c>
      <c r="B1268" s="6" t="s">
        <v>87</v>
      </c>
      <c r="C1268" s="6">
        <v>2017</v>
      </c>
      <c r="D1268" s="6" t="s">
        <v>0</v>
      </c>
      <c r="E1268" s="6" t="s">
        <v>4</v>
      </c>
      <c r="F1268" s="7">
        <v>214</v>
      </c>
    </row>
    <row r="1269" spans="1:6" ht="28" x14ac:dyDescent="0.3">
      <c r="A1269" s="6" t="s">
        <v>12</v>
      </c>
      <c r="B1269" s="6" t="s">
        <v>88</v>
      </c>
      <c r="C1269" s="6">
        <v>2017</v>
      </c>
      <c r="D1269" s="6" t="s">
        <v>0</v>
      </c>
      <c r="E1269" s="6" t="s">
        <v>4</v>
      </c>
      <c r="F1269" s="7">
        <v>1872</v>
      </c>
    </row>
    <row r="1270" spans="1:6" ht="28" x14ac:dyDescent="0.3">
      <c r="A1270" s="6" t="s">
        <v>13</v>
      </c>
      <c r="B1270" s="6" t="s">
        <v>89</v>
      </c>
      <c r="C1270" s="6">
        <v>2017</v>
      </c>
      <c r="D1270" s="6" t="s">
        <v>0</v>
      </c>
      <c r="E1270" s="6" t="s">
        <v>4</v>
      </c>
      <c r="F1270" s="7">
        <v>30</v>
      </c>
    </row>
    <row r="1271" spans="1:6" ht="28" x14ac:dyDescent="0.3">
      <c r="A1271" s="6" t="s">
        <v>13</v>
      </c>
      <c r="B1271" s="6" t="s">
        <v>98</v>
      </c>
      <c r="C1271" s="6">
        <v>2017</v>
      </c>
      <c r="D1271" s="6" t="s">
        <v>0</v>
      </c>
      <c r="E1271" s="6" t="s">
        <v>4</v>
      </c>
      <c r="F1271" s="7">
        <v>17</v>
      </c>
    </row>
    <row r="1272" spans="1:6" ht="28" x14ac:dyDescent="0.3">
      <c r="A1272" s="6" t="s">
        <v>13</v>
      </c>
      <c r="B1272" s="6" t="s">
        <v>99</v>
      </c>
      <c r="C1272" s="6">
        <v>2017</v>
      </c>
      <c r="D1272" s="6" t="s">
        <v>0</v>
      </c>
      <c r="E1272" s="6" t="s">
        <v>4</v>
      </c>
      <c r="F1272" s="7">
        <v>38</v>
      </c>
    </row>
    <row r="1273" spans="1:6" ht="28" x14ac:dyDescent="0.3">
      <c r="A1273" s="6" t="s">
        <v>13</v>
      </c>
      <c r="B1273" s="6" t="s">
        <v>90</v>
      </c>
      <c r="C1273" s="6">
        <v>2017</v>
      </c>
      <c r="D1273" s="6" t="s">
        <v>0</v>
      </c>
      <c r="E1273" s="6" t="s">
        <v>4</v>
      </c>
      <c r="F1273" s="7">
        <v>257</v>
      </c>
    </row>
    <row r="1274" spans="1:6" ht="28" x14ac:dyDescent="0.3">
      <c r="A1274" s="6" t="s">
        <v>13</v>
      </c>
      <c r="B1274" s="6" t="s">
        <v>91</v>
      </c>
      <c r="C1274" s="6">
        <v>2017</v>
      </c>
      <c r="D1274" s="6" t="s">
        <v>0</v>
      </c>
      <c r="E1274" s="6" t="s">
        <v>4</v>
      </c>
      <c r="F1274" s="7">
        <v>21</v>
      </c>
    </row>
    <row r="1275" spans="1:6" ht="28" x14ac:dyDescent="0.3">
      <c r="A1275" s="6" t="s">
        <v>13</v>
      </c>
      <c r="B1275" s="6" t="s">
        <v>92</v>
      </c>
      <c r="C1275" s="6">
        <v>2017</v>
      </c>
      <c r="D1275" s="6" t="s">
        <v>0</v>
      </c>
      <c r="E1275" s="6" t="s">
        <v>4</v>
      </c>
      <c r="F1275" s="7">
        <v>71</v>
      </c>
    </row>
    <row r="1276" spans="1:6" ht="28" x14ac:dyDescent="0.3">
      <c r="A1276" s="6" t="s">
        <v>13</v>
      </c>
      <c r="B1276" s="6" t="s">
        <v>93</v>
      </c>
      <c r="C1276" s="6">
        <v>2017</v>
      </c>
      <c r="D1276" s="6" t="s">
        <v>0</v>
      </c>
      <c r="E1276" s="6" t="s">
        <v>4</v>
      </c>
      <c r="F1276" s="7">
        <v>25</v>
      </c>
    </row>
    <row r="1277" spans="1:6" ht="28" x14ac:dyDescent="0.3">
      <c r="A1277" s="6" t="s">
        <v>13</v>
      </c>
      <c r="B1277" s="6" t="s">
        <v>94</v>
      </c>
      <c r="C1277" s="6">
        <v>2017</v>
      </c>
      <c r="D1277" s="6" t="s">
        <v>0</v>
      </c>
      <c r="E1277" s="6" t="s">
        <v>4</v>
      </c>
      <c r="F1277" s="7">
        <v>9</v>
      </c>
    </row>
    <row r="1278" spans="1:6" ht="28" x14ac:dyDescent="0.3">
      <c r="A1278" s="6" t="s">
        <v>13</v>
      </c>
      <c r="B1278" s="6" t="s">
        <v>95</v>
      </c>
      <c r="C1278" s="6">
        <v>2017</v>
      </c>
      <c r="D1278" s="6" t="s">
        <v>0</v>
      </c>
      <c r="E1278" s="6" t="s">
        <v>4</v>
      </c>
      <c r="F1278" s="7">
        <v>50</v>
      </c>
    </row>
    <row r="1279" spans="1:6" ht="28" x14ac:dyDescent="0.3">
      <c r="A1279" s="6" t="s">
        <v>13</v>
      </c>
      <c r="B1279" s="6" t="s">
        <v>96</v>
      </c>
      <c r="C1279" s="6">
        <v>2017</v>
      </c>
      <c r="D1279" s="6" t="s">
        <v>0</v>
      </c>
      <c r="E1279" s="6" t="s">
        <v>4</v>
      </c>
      <c r="F1279" s="7">
        <v>435</v>
      </c>
    </row>
    <row r="1280" spans="1:6" ht="28" x14ac:dyDescent="0.3">
      <c r="A1280" s="6" t="s">
        <v>13</v>
      </c>
      <c r="B1280" s="6" t="s">
        <v>97</v>
      </c>
      <c r="C1280" s="6">
        <v>2017</v>
      </c>
      <c r="D1280" s="6" t="s">
        <v>0</v>
      </c>
      <c r="E1280" s="6" t="s">
        <v>4</v>
      </c>
      <c r="F1280" s="7">
        <v>57</v>
      </c>
    </row>
    <row r="1281" spans="1:6" ht="28" x14ac:dyDescent="0.3">
      <c r="A1281" s="6" t="s">
        <v>14</v>
      </c>
      <c r="B1281" s="6" t="s">
        <v>100</v>
      </c>
      <c r="C1281" s="6">
        <v>2017</v>
      </c>
      <c r="D1281" s="6" t="s">
        <v>0</v>
      </c>
      <c r="E1281" s="6" t="s">
        <v>4</v>
      </c>
      <c r="F1281" s="7">
        <v>1700</v>
      </c>
    </row>
    <row r="1282" spans="1:6" ht="28" x14ac:dyDescent="0.3">
      <c r="A1282" s="6" t="s">
        <v>14</v>
      </c>
      <c r="B1282" s="6" t="s">
        <v>101</v>
      </c>
      <c r="C1282" s="6">
        <v>2017</v>
      </c>
      <c r="D1282" s="6" t="s">
        <v>0</v>
      </c>
      <c r="E1282" s="6" t="s">
        <v>4</v>
      </c>
      <c r="F1282" s="7">
        <v>273</v>
      </c>
    </row>
    <row r="1283" spans="1:6" ht="28" x14ac:dyDescent="0.3">
      <c r="A1283" s="6" t="s">
        <v>14</v>
      </c>
      <c r="B1283" s="6" t="s">
        <v>102</v>
      </c>
      <c r="C1283" s="6">
        <v>2017</v>
      </c>
      <c r="D1283" s="6" t="s">
        <v>0</v>
      </c>
      <c r="E1283" s="6" t="s">
        <v>4</v>
      </c>
      <c r="F1283" s="7">
        <v>4114</v>
      </c>
    </row>
    <row r="1284" spans="1:6" ht="28" x14ac:dyDescent="0.3">
      <c r="A1284" s="6" t="s">
        <v>14</v>
      </c>
      <c r="B1284" s="6" t="s">
        <v>103</v>
      </c>
      <c r="C1284" s="6">
        <v>2017</v>
      </c>
      <c r="D1284" s="6" t="s">
        <v>0</v>
      </c>
      <c r="E1284" s="6" t="s">
        <v>4</v>
      </c>
      <c r="F1284" s="7">
        <v>4465</v>
      </c>
    </row>
    <row r="1285" spans="1:6" ht="28" x14ac:dyDescent="0.3">
      <c r="A1285" s="6" t="s">
        <v>14</v>
      </c>
      <c r="B1285" s="6" t="s">
        <v>104</v>
      </c>
      <c r="C1285" s="6">
        <v>2017</v>
      </c>
      <c r="D1285" s="6" t="s">
        <v>0</v>
      </c>
      <c r="E1285" s="6" t="s">
        <v>4</v>
      </c>
      <c r="F1285" s="7">
        <v>8301</v>
      </c>
    </row>
    <row r="1286" spans="1:6" ht="28" x14ac:dyDescent="0.3">
      <c r="A1286" s="6" t="s">
        <v>14</v>
      </c>
      <c r="B1286" s="6" t="s">
        <v>105</v>
      </c>
      <c r="C1286" s="6">
        <v>2017</v>
      </c>
      <c r="D1286" s="6" t="s">
        <v>0</v>
      </c>
      <c r="E1286" s="6" t="s">
        <v>4</v>
      </c>
      <c r="F1286" s="7">
        <v>2010</v>
      </c>
    </row>
    <row r="1287" spans="1:6" ht="28" x14ac:dyDescent="0.3">
      <c r="A1287" s="6" t="s">
        <v>15</v>
      </c>
      <c r="B1287" s="6" t="s">
        <v>106</v>
      </c>
      <c r="C1287" s="6">
        <v>2017</v>
      </c>
      <c r="D1287" s="6" t="s">
        <v>0</v>
      </c>
      <c r="E1287" s="6" t="s">
        <v>4</v>
      </c>
      <c r="F1287" s="7">
        <v>244</v>
      </c>
    </row>
    <row r="1288" spans="1:6" ht="28" x14ac:dyDescent="0.3">
      <c r="A1288" s="6" t="s">
        <v>15</v>
      </c>
      <c r="B1288" s="6" t="s">
        <v>107</v>
      </c>
      <c r="C1288" s="6">
        <v>2017</v>
      </c>
      <c r="D1288" s="6" t="s">
        <v>0</v>
      </c>
      <c r="E1288" s="6" t="s">
        <v>4</v>
      </c>
      <c r="F1288" s="7">
        <v>19</v>
      </c>
    </row>
    <row r="1289" spans="1:6" ht="28" x14ac:dyDescent="0.3">
      <c r="A1289" s="6" t="s">
        <v>15</v>
      </c>
      <c r="B1289" s="6" t="s">
        <v>108</v>
      </c>
      <c r="C1289" s="6">
        <v>2017</v>
      </c>
      <c r="D1289" s="6" t="s">
        <v>0</v>
      </c>
      <c r="E1289" s="6" t="s">
        <v>4</v>
      </c>
      <c r="F1289" s="7">
        <v>270</v>
      </c>
    </row>
    <row r="1290" spans="1:6" ht="28" x14ac:dyDescent="0.3">
      <c r="A1290" s="6" t="s">
        <v>6</v>
      </c>
      <c r="B1290" s="6" t="s">
        <v>17</v>
      </c>
      <c r="C1290" s="6">
        <v>2017</v>
      </c>
      <c r="D1290" s="6" t="s">
        <v>1</v>
      </c>
      <c r="E1290" s="6" t="s">
        <v>5</v>
      </c>
      <c r="F1290" s="7">
        <v>36</v>
      </c>
    </row>
    <row r="1291" spans="1:6" ht="28" x14ac:dyDescent="0.3">
      <c r="A1291" s="6" t="s">
        <v>6</v>
      </c>
      <c r="B1291" s="6" t="s">
        <v>18</v>
      </c>
      <c r="C1291" s="6">
        <v>2017</v>
      </c>
      <c r="D1291" s="6" t="s">
        <v>1</v>
      </c>
      <c r="E1291" s="6" t="s">
        <v>5</v>
      </c>
      <c r="F1291" s="7">
        <v>746</v>
      </c>
    </row>
    <row r="1292" spans="1:6" ht="28" x14ac:dyDescent="0.3">
      <c r="A1292" s="6" t="s">
        <v>6</v>
      </c>
      <c r="B1292" s="6" t="s">
        <v>19</v>
      </c>
      <c r="C1292" s="6">
        <v>2017</v>
      </c>
      <c r="D1292" s="6" t="s">
        <v>1</v>
      </c>
      <c r="E1292" s="6" t="s">
        <v>5</v>
      </c>
      <c r="F1292" s="7">
        <v>19415</v>
      </c>
    </row>
    <row r="1293" spans="1:6" ht="28" x14ac:dyDescent="0.3">
      <c r="A1293" s="6" t="s">
        <v>6</v>
      </c>
      <c r="B1293" s="6" t="s">
        <v>20</v>
      </c>
      <c r="C1293" s="6">
        <v>2017</v>
      </c>
      <c r="D1293" s="6" t="s">
        <v>1</v>
      </c>
      <c r="E1293" s="6" t="s">
        <v>5</v>
      </c>
      <c r="F1293" s="7">
        <v>18944</v>
      </c>
    </row>
    <row r="1294" spans="1:6" ht="28" x14ac:dyDescent="0.3">
      <c r="A1294" s="6" t="s">
        <v>7</v>
      </c>
      <c r="B1294" s="6" t="s">
        <v>21</v>
      </c>
      <c r="C1294" s="6">
        <v>2017</v>
      </c>
      <c r="D1294" s="6" t="s">
        <v>1</v>
      </c>
      <c r="E1294" s="6" t="s">
        <v>5</v>
      </c>
      <c r="F1294" s="7">
        <v>2726</v>
      </c>
    </row>
    <row r="1295" spans="1:6" ht="28" x14ac:dyDescent="0.3">
      <c r="A1295" s="6" t="s">
        <v>7</v>
      </c>
      <c r="B1295" s="6" t="s">
        <v>22</v>
      </c>
      <c r="C1295" s="6">
        <v>2017</v>
      </c>
      <c r="D1295" s="6" t="s">
        <v>1</v>
      </c>
      <c r="E1295" s="6" t="s">
        <v>5</v>
      </c>
      <c r="F1295" s="7">
        <v>6</v>
      </c>
    </row>
    <row r="1296" spans="1:6" ht="28" x14ac:dyDescent="0.3">
      <c r="A1296" s="6" t="s">
        <v>7</v>
      </c>
      <c r="B1296" s="6" t="s">
        <v>23</v>
      </c>
      <c r="C1296" s="6">
        <v>2017</v>
      </c>
      <c r="D1296" s="6" t="s">
        <v>1</v>
      </c>
      <c r="E1296" s="6" t="s">
        <v>5</v>
      </c>
      <c r="F1296" s="7">
        <v>22</v>
      </c>
    </row>
    <row r="1297" spans="1:6" ht="28" x14ac:dyDescent="0.3">
      <c r="A1297" s="6" t="s">
        <v>8</v>
      </c>
      <c r="B1297" s="6" t="s">
        <v>24</v>
      </c>
      <c r="C1297" s="6">
        <v>2017</v>
      </c>
      <c r="D1297" s="6" t="s">
        <v>1</v>
      </c>
      <c r="E1297" s="6" t="s">
        <v>5</v>
      </c>
      <c r="F1297" s="7">
        <v>914</v>
      </c>
    </row>
    <row r="1298" spans="1:6" ht="28" x14ac:dyDescent="0.3">
      <c r="A1298" s="6" t="s">
        <v>8</v>
      </c>
      <c r="B1298" s="6" t="s">
        <v>25</v>
      </c>
      <c r="C1298" s="6">
        <v>2017</v>
      </c>
      <c r="D1298" s="6" t="s">
        <v>1</v>
      </c>
      <c r="E1298" s="6" t="s">
        <v>5</v>
      </c>
      <c r="F1298" s="7">
        <v>490</v>
      </c>
    </row>
    <row r="1299" spans="1:6" ht="28" x14ac:dyDescent="0.3">
      <c r="A1299" s="6" t="s">
        <v>9</v>
      </c>
      <c r="B1299" s="6" t="s">
        <v>26</v>
      </c>
      <c r="C1299" s="6">
        <v>2017</v>
      </c>
      <c r="D1299" s="6" t="s">
        <v>1</v>
      </c>
      <c r="E1299" s="6" t="s">
        <v>5</v>
      </c>
      <c r="F1299" s="7">
        <v>22</v>
      </c>
    </row>
    <row r="1300" spans="1:6" ht="28" x14ac:dyDescent="0.3">
      <c r="A1300" s="6" t="s">
        <v>9</v>
      </c>
      <c r="B1300" s="6" t="s">
        <v>35</v>
      </c>
      <c r="C1300" s="6">
        <v>2017</v>
      </c>
      <c r="D1300" s="6" t="s">
        <v>1</v>
      </c>
      <c r="E1300" s="6" t="s">
        <v>5</v>
      </c>
      <c r="F1300" s="7">
        <v>10</v>
      </c>
    </row>
    <row r="1301" spans="1:6" ht="28" x14ac:dyDescent="0.3">
      <c r="A1301" s="6" t="s">
        <v>9</v>
      </c>
      <c r="B1301" s="6" t="s">
        <v>36</v>
      </c>
      <c r="C1301" s="6">
        <v>2017</v>
      </c>
      <c r="D1301" s="6" t="s">
        <v>1</v>
      </c>
      <c r="E1301" s="6" t="s">
        <v>5</v>
      </c>
      <c r="F1301" s="7">
        <v>28</v>
      </c>
    </row>
    <row r="1302" spans="1:6" ht="28" x14ac:dyDescent="0.3">
      <c r="A1302" s="6" t="s">
        <v>9</v>
      </c>
      <c r="B1302" s="6" t="s">
        <v>37</v>
      </c>
      <c r="C1302" s="6">
        <v>2017</v>
      </c>
      <c r="D1302" s="6" t="s">
        <v>1</v>
      </c>
      <c r="E1302" s="6" t="s">
        <v>5</v>
      </c>
      <c r="F1302" s="7">
        <v>6</v>
      </c>
    </row>
    <row r="1303" spans="1:6" ht="28" x14ac:dyDescent="0.3">
      <c r="A1303" s="6" t="s">
        <v>9</v>
      </c>
      <c r="B1303" s="6" t="s">
        <v>38</v>
      </c>
      <c r="C1303" s="6">
        <v>2017</v>
      </c>
      <c r="D1303" s="6" t="s">
        <v>1</v>
      </c>
      <c r="E1303" s="6" t="s">
        <v>5</v>
      </c>
      <c r="F1303" s="7">
        <v>1242</v>
      </c>
    </row>
    <row r="1304" spans="1:6" ht="28" x14ac:dyDescent="0.3">
      <c r="A1304" s="6" t="s">
        <v>9</v>
      </c>
      <c r="B1304" s="6" t="s">
        <v>39</v>
      </c>
      <c r="C1304" s="6">
        <v>2017</v>
      </c>
      <c r="D1304" s="6" t="s">
        <v>1</v>
      </c>
      <c r="E1304" s="6" t="s">
        <v>5</v>
      </c>
      <c r="F1304" s="7">
        <v>6</v>
      </c>
    </row>
    <row r="1305" spans="1:6" ht="28" x14ac:dyDescent="0.3">
      <c r="A1305" s="6" t="s">
        <v>9</v>
      </c>
      <c r="B1305" s="6" t="s">
        <v>40</v>
      </c>
      <c r="C1305" s="6">
        <v>2017</v>
      </c>
      <c r="D1305" s="6" t="s">
        <v>1</v>
      </c>
      <c r="E1305" s="6" t="s">
        <v>5</v>
      </c>
      <c r="F1305" s="7">
        <v>8</v>
      </c>
    </row>
    <row r="1306" spans="1:6" ht="28" x14ac:dyDescent="0.3">
      <c r="A1306" s="6" t="s">
        <v>9</v>
      </c>
      <c r="B1306" s="6" t="s">
        <v>41</v>
      </c>
      <c r="C1306" s="6">
        <v>2017</v>
      </c>
      <c r="D1306" s="6" t="s">
        <v>1</v>
      </c>
      <c r="E1306" s="6" t="s">
        <v>5</v>
      </c>
      <c r="F1306" s="7">
        <v>1815</v>
      </c>
    </row>
    <row r="1307" spans="1:6" ht="28" x14ac:dyDescent="0.3">
      <c r="A1307" s="6" t="s">
        <v>9</v>
      </c>
      <c r="B1307" s="6" t="s">
        <v>42</v>
      </c>
      <c r="C1307" s="6">
        <v>2017</v>
      </c>
      <c r="D1307" s="6" t="s">
        <v>1</v>
      </c>
      <c r="E1307" s="6" t="s">
        <v>5</v>
      </c>
      <c r="F1307" s="7">
        <v>5616</v>
      </c>
    </row>
    <row r="1308" spans="1:6" ht="28" x14ac:dyDescent="0.3">
      <c r="A1308" s="6" t="s">
        <v>9</v>
      </c>
      <c r="B1308" s="6" t="s">
        <v>43</v>
      </c>
      <c r="C1308" s="6">
        <v>2017</v>
      </c>
      <c r="D1308" s="6" t="s">
        <v>1</v>
      </c>
      <c r="E1308" s="6" t="s">
        <v>5</v>
      </c>
      <c r="F1308" s="7">
        <v>2303</v>
      </c>
    </row>
    <row r="1309" spans="1:6" ht="28" x14ac:dyDescent="0.3">
      <c r="A1309" s="6" t="s">
        <v>9</v>
      </c>
      <c r="B1309" s="6" t="s">
        <v>44</v>
      </c>
      <c r="C1309" s="6">
        <v>2017</v>
      </c>
      <c r="D1309" s="6" t="s">
        <v>1</v>
      </c>
      <c r="E1309" s="6" t="s">
        <v>5</v>
      </c>
      <c r="F1309" s="7">
        <v>351</v>
      </c>
    </row>
    <row r="1310" spans="1:6" ht="28" x14ac:dyDescent="0.3">
      <c r="A1310" s="6" t="s">
        <v>9</v>
      </c>
      <c r="B1310" s="6" t="s">
        <v>27</v>
      </c>
      <c r="C1310" s="6">
        <v>2017</v>
      </c>
      <c r="D1310" s="6" t="s">
        <v>1</v>
      </c>
      <c r="E1310" s="6" t="s">
        <v>5</v>
      </c>
      <c r="F1310" s="7">
        <v>409</v>
      </c>
    </row>
    <row r="1311" spans="1:6" ht="28" x14ac:dyDescent="0.3">
      <c r="A1311" s="6" t="s">
        <v>9</v>
      </c>
      <c r="B1311" s="6" t="s">
        <v>45</v>
      </c>
      <c r="C1311" s="6">
        <v>2017</v>
      </c>
      <c r="D1311" s="6" t="s">
        <v>1</v>
      </c>
      <c r="E1311" s="6" t="s">
        <v>5</v>
      </c>
      <c r="F1311" s="7">
        <v>6</v>
      </c>
    </row>
    <row r="1312" spans="1:6" ht="28" x14ac:dyDescent="0.3">
      <c r="A1312" s="6" t="s">
        <v>9</v>
      </c>
      <c r="B1312" s="6" t="s">
        <v>46</v>
      </c>
      <c r="C1312" s="6">
        <v>2017</v>
      </c>
      <c r="D1312" s="6" t="s">
        <v>1</v>
      </c>
      <c r="E1312" s="6" t="s">
        <v>5</v>
      </c>
      <c r="F1312" s="7">
        <v>1514</v>
      </c>
    </row>
    <row r="1313" spans="1:6" ht="28" x14ac:dyDescent="0.3">
      <c r="A1313" s="6" t="s">
        <v>9</v>
      </c>
      <c r="B1313" s="6" t="s">
        <v>47</v>
      </c>
      <c r="C1313" s="6">
        <v>2017</v>
      </c>
      <c r="D1313" s="6" t="s">
        <v>1</v>
      </c>
      <c r="E1313" s="6" t="s">
        <v>5</v>
      </c>
      <c r="F1313" s="7">
        <v>38</v>
      </c>
    </row>
    <row r="1314" spans="1:6" ht="28" x14ac:dyDescent="0.3">
      <c r="A1314" s="6" t="s">
        <v>9</v>
      </c>
      <c r="B1314" s="6" t="s">
        <v>48</v>
      </c>
      <c r="C1314" s="6">
        <v>2017</v>
      </c>
      <c r="D1314" s="6" t="s">
        <v>1</v>
      </c>
      <c r="E1314" s="6" t="s">
        <v>5</v>
      </c>
      <c r="F1314" s="7">
        <v>1468</v>
      </c>
    </row>
    <row r="1315" spans="1:6" ht="28" x14ac:dyDescent="0.3">
      <c r="A1315" s="6" t="s">
        <v>9</v>
      </c>
      <c r="B1315" s="6" t="s">
        <v>49</v>
      </c>
      <c r="C1315" s="6">
        <v>2017</v>
      </c>
      <c r="D1315" s="6" t="s">
        <v>1</v>
      </c>
      <c r="E1315" s="6" t="s">
        <v>5</v>
      </c>
      <c r="F1315" s="7">
        <v>1371</v>
      </c>
    </row>
    <row r="1316" spans="1:6" ht="28" x14ac:dyDescent="0.3">
      <c r="A1316" s="6" t="s">
        <v>9</v>
      </c>
      <c r="B1316" s="6" t="s">
        <v>50</v>
      </c>
      <c r="C1316" s="6">
        <v>2017</v>
      </c>
      <c r="D1316" s="6" t="s">
        <v>1</v>
      </c>
      <c r="E1316" s="6" t="s">
        <v>5</v>
      </c>
      <c r="F1316" s="7">
        <v>2334</v>
      </c>
    </row>
    <row r="1317" spans="1:6" ht="28" x14ac:dyDescent="0.3">
      <c r="A1317" s="6" t="s">
        <v>9</v>
      </c>
      <c r="B1317" s="6" t="s">
        <v>51</v>
      </c>
      <c r="C1317" s="6">
        <v>2017</v>
      </c>
      <c r="D1317" s="6" t="s">
        <v>1</v>
      </c>
      <c r="E1317" s="6" t="s">
        <v>5</v>
      </c>
      <c r="F1317" s="7">
        <v>2991</v>
      </c>
    </row>
    <row r="1318" spans="1:6" ht="28" x14ac:dyDescent="0.3">
      <c r="A1318" s="6" t="s">
        <v>9</v>
      </c>
      <c r="B1318" s="6" t="s">
        <v>52</v>
      </c>
      <c r="C1318" s="6">
        <v>2017</v>
      </c>
      <c r="D1318" s="6" t="s">
        <v>1</v>
      </c>
      <c r="E1318" s="6" t="s">
        <v>5</v>
      </c>
      <c r="F1318" s="7">
        <v>2968</v>
      </c>
    </row>
    <row r="1319" spans="1:6" ht="28" x14ac:dyDescent="0.3">
      <c r="A1319" s="6" t="s">
        <v>9</v>
      </c>
      <c r="B1319" s="6" t="s">
        <v>53</v>
      </c>
      <c r="C1319" s="6">
        <v>2017</v>
      </c>
      <c r="D1319" s="6" t="s">
        <v>1</v>
      </c>
      <c r="E1319" s="6" t="s">
        <v>5</v>
      </c>
      <c r="F1319" s="7">
        <v>2633</v>
      </c>
    </row>
    <row r="1320" spans="1:6" ht="28" x14ac:dyDescent="0.3">
      <c r="A1320" s="6" t="s">
        <v>9</v>
      </c>
      <c r="B1320" s="6" t="s">
        <v>54</v>
      </c>
      <c r="C1320" s="6">
        <v>2017</v>
      </c>
      <c r="D1320" s="6" t="s">
        <v>1</v>
      </c>
      <c r="E1320" s="6" t="s">
        <v>5</v>
      </c>
      <c r="F1320" s="7">
        <v>1175</v>
      </c>
    </row>
    <row r="1321" spans="1:6" ht="28" x14ac:dyDescent="0.3">
      <c r="A1321" s="6" t="s">
        <v>9</v>
      </c>
      <c r="B1321" s="6" t="s">
        <v>28</v>
      </c>
      <c r="C1321" s="6">
        <v>2017</v>
      </c>
      <c r="D1321" s="6" t="s">
        <v>1</v>
      </c>
      <c r="E1321" s="6" t="s">
        <v>5</v>
      </c>
      <c r="F1321" s="7">
        <v>151</v>
      </c>
    </row>
    <row r="1322" spans="1:6" ht="28" x14ac:dyDescent="0.3">
      <c r="A1322" s="6" t="s">
        <v>9</v>
      </c>
      <c r="B1322" s="6" t="s">
        <v>55</v>
      </c>
      <c r="C1322" s="6">
        <v>2017</v>
      </c>
      <c r="D1322" s="6" t="s">
        <v>1</v>
      </c>
      <c r="E1322" s="6" t="s">
        <v>5</v>
      </c>
      <c r="F1322" s="7">
        <v>1659</v>
      </c>
    </row>
    <row r="1323" spans="1:6" ht="28" x14ac:dyDescent="0.3">
      <c r="A1323" s="6" t="s">
        <v>9</v>
      </c>
      <c r="B1323" s="6" t="s">
        <v>56</v>
      </c>
      <c r="C1323" s="6">
        <v>2017</v>
      </c>
      <c r="D1323" s="6" t="s">
        <v>1</v>
      </c>
      <c r="E1323" s="6" t="s">
        <v>5</v>
      </c>
      <c r="F1323" s="7">
        <v>2465</v>
      </c>
    </row>
    <row r="1324" spans="1:6" ht="28" x14ac:dyDescent="0.3">
      <c r="A1324" s="6" t="s">
        <v>9</v>
      </c>
      <c r="B1324" s="6" t="s">
        <v>57</v>
      </c>
      <c r="C1324" s="6">
        <v>2017</v>
      </c>
      <c r="D1324" s="6" t="s">
        <v>1</v>
      </c>
      <c r="E1324" s="6" t="s">
        <v>5</v>
      </c>
      <c r="F1324" s="7">
        <v>1817</v>
      </c>
    </row>
    <row r="1325" spans="1:6" ht="28" x14ac:dyDescent="0.3">
      <c r="A1325" s="6" t="s">
        <v>9</v>
      </c>
      <c r="B1325" s="6" t="s">
        <v>58</v>
      </c>
      <c r="C1325" s="6">
        <v>2017</v>
      </c>
      <c r="D1325" s="6" t="s">
        <v>1</v>
      </c>
      <c r="E1325" s="6" t="s">
        <v>5</v>
      </c>
      <c r="F1325" s="7">
        <v>2481</v>
      </c>
    </row>
    <row r="1326" spans="1:6" ht="28" x14ac:dyDescent="0.3">
      <c r="A1326" s="6" t="s">
        <v>9</v>
      </c>
      <c r="B1326" s="6" t="s">
        <v>29</v>
      </c>
      <c r="C1326" s="6">
        <v>2017</v>
      </c>
      <c r="D1326" s="6" t="s">
        <v>1</v>
      </c>
      <c r="E1326" s="6" t="s">
        <v>5</v>
      </c>
      <c r="F1326" s="7">
        <v>5</v>
      </c>
    </row>
    <row r="1327" spans="1:6" ht="28" x14ac:dyDescent="0.3">
      <c r="A1327" s="6" t="s">
        <v>9</v>
      </c>
      <c r="B1327" s="6" t="s">
        <v>30</v>
      </c>
      <c r="C1327" s="6">
        <v>2017</v>
      </c>
      <c r="D1327" s="6" t="s">
        <v>1</v>
      </c>
      <c r="E1327" s="6" t="s">
        <v>5</v>
      </c>
      <c r="F1327" s="7">
        <v>39</v>
      </c>
    </row>
    <row r="1328" spans="1:6" ht="28" x14ac:dyDescent="0.3">
      <c r="A1328" s="6" t="s">
        <v>9</v>
      </c>
      <c r="B1328" s="6" t="s">
        <v>31</v>
      </c>
      <c r="C1328" s="6">
        <v>2017</v>
      </c>
      <c r="D1328" s="6" t="s">
        <v>1</v>
      </c>
      <c r="E1328" s="6" t="s">
        <v>5</v>
      </c>
      <c r="F1328" s="7">
        <v>2147</v>
      </c>
    </row>
    <row r="1329" spans="1:6" ht="28" x14ac:dyDescent="0.3">
      <c r="A1329" s="6" t="s">
        <v>9</v>
      </c>
      <c r="B1329" s="6" t="s">
        <v>32</v>
      </c>
      <c r="C1329" s="6">
        <v>2017</v>
      </c>
      <c r="D1329" s="6" t="s">
        <v>1</v>
      </c>
      <c r="E1329" s="6" t="s">
        <v>5</v>
      </c>
      <c r="F1329" s="7">
        <v>8</v>
      </c>
    </row>
    <row r="1330" spans="1:6" ht="28" x14ac:dyDescent="0.3">
      <c r="A1330" s="6" t="s">
        <v>9</v>
      </c>
      <c r="B1330" s="6" t="s">
        <v>33</v>
      </c>
      <c r="C1330" s="6">
        <v>2017</v>
      </c>
      <c r="D1330" s="6" t="s">
        <v>1</v>
      </c>
      <c r="E1330" s="6" t="s">
        <v>5</v>
      </c>
      <c r="F1330" s="7">
        <v>15</v>
      </c>
    </row>
    <row r="1331" spans="1:6" ht="28" x14ac:dyDescent="0.3">
      <c r="A1331" s="6" t="s">
        <v>9</v>
      </c>
      <c r="B1331" s="6" t="s">
        <v>34</v>
      </c>
      <c r="C1331" s="6">
        <v>2017</v>
      </c>
      <c r="D1331" s="6" t="s">
        <v>1</v>
      </c>
      <c r="E1331" s="6" t="s">
        <v>5</v>
      </c>
      <c r="F1331" s="7">
        <v>158</v>
      </c>
    </row>
    <row r="1332" spans="1:6" ht="28" x14ac:dyDescent="0.3">
      <c r="A1332" s="6" t="s">
        <v>10</v>
      </c>
      <c r="B1332" s="6" t="s">
        <v>59</v>
      </c>
      <c r="C1332" s="6">
        <v>2017</v>
      </c>
      <c r="D1332" s="6" t="s">
        <v>1</v>
      </c>
      <c r="E1332" s="6" t="s">
        <v>5</v>
      </c>
      <c r="F1332" s="7">
        <v>390</v>
      </c>
    </row>
    <row r="1333" spans="1:6" ht="28" x14ac:dyDescent="0.3">
      <c r="A1333" s="6" t="s">
        <v>10</v>
      </c>
      <c r="B1333" s="6" t="s">
        <v>60</v>
      </c>
      <c r="C1333" s="6">
        <v>2017</v>
      </c>
      <c r="D1333" s="6" t="s">
        <v>1</v>
      </c>
      <c r="E1333" s="6" t="s">
        <v>5</v>
      </c>
      <c r="F1333" s="7">
        <v>5</v>
      </c>
    </row>
    <row r="1334" spans="1:6" ht="28" x14ac:dyDescent="0.3">
      <c r="A1334" s="6" t="s">
        <v>10</v>
      </c>
      <c r="B1334" s="6" t="s">
        <v>61</v>
      </c>
      <c r="C1334" s="6">
        <v>2017</v>
      </c>
      <c r="D1334" s="6" t="s">
        <v>1</v>
      </c>
      <c r="E1334" s="6" t="s">
        <v>5</v>
      </c>
      <c r="F1334" s="7">
        <v>58</v>
      </c>
    </row>
    <row r="1335" spans="1:6" ht="28" x14ac:dyDescent="0.3">
      <c r="A1335" s="6" t="s">
        <v>10</v>
      </c>
      <c r="B1335" s="6" t="s">
        <v>62</v>
      </c>
      <c r="C1335" s="6">
        <v>2017</v>
      </c>
      <c r="D1335" s="6" t="s">
        <v>1</v>
      </c>
      <c r="E1335" s="6" t="s">
        <v>5</v>
      </c>
      <c r="F1335" s="7">
        <v>19</v>
      </c>
    </row>
    <row r="1336" spans="1:6" ht="28" x14ac:dyDescent="0.3">
      <c r="A1336" s="6" t="s">
        <v>10</v>
      </c>
      <c r="B1336" s="6" t="s">
        <v>63</v>
      </c>
      <c r="C1336" s="6">
        <v>2017</v>
      </c>
      <c r="D1336" s="6" t="s">
        <v>1</v>
      </c>
      <c r="E1336" s="6" t="s">
        <v>5</v>
      </c>
      <c r="F1336" s="7">
        <v>153</v>
      </c>
    </row>
    <row r="1337" spans="1:6" ht="28" x14ac:dyDescent="0.3">
      <c r="A1337" s="6" t="s">
        <v>10</v>
      </c>
      <c r="B1337" s="6" t="s">
        <v>64</v>
      </c>
      <c r="C1337" s="6">
        <v>2017</v>
      </c>
      <c r="D1337" s="6" t="s">
        <v>1</v>
      </c>
      <c r="E1337" s="6" t="s">
        <v>5</v>
      </c>
      <c r="F1337" s="7">
        <v>15</v>
      </c>
    </row>
    <row r="1338" spans="1:6" ht="28" x14ac:dyDescent="0.3">
      <c r="A1338" s="6" t="s">
        <v>10</v>
      </c>
      <c r="B1338" s="6" t="s">
        <v>65</v>
      </c>
      <c r="C1338" s="6">
        <v>2017</v>
      </c>
      <c r="D1338" s="6" t="s">
        <v>1</v>
      </c>
      <c r="E1338" s="6" t="s">
        <v>5</v>
      </c>
      <c r="F1338" s="7">
        <v>883</v>
      </c>
    </row>
    <row r="1339" spans="1:6" ht="28" x14ac:dyDescent="0.3">
      <c r="A1339" s="6" t="s">
        <v>10</v>
      </c>
      <c r="B1339" s="6" t="s">
        <v>66</v>
      </c>
      <c r="C1339" s="6">
        <v>2017</v>
      </c>
      <c r="D1339" s="6" t="s">
        <v>1</v>
      </c>
      <c r="E1339" s="6" t="s">
        <v>5</v>
      </c>
      <c r="F1339" s="7">
        <v>44</v>
      </c>
    </row>
    <row r="1340" spans="1:6" ht="28" x14ac:dyDescent="0.3">
      <c r="A1340" s="6" t="s">
        <v>11</v>
      </c>
      <c r="B1340" s="6" t="s">
        <v>67</v>
      </c>
      <c r="C1340" s="6">
        <v>2017</v>
      </c>
      <c r="D1340" s="6" t="s">
        <v>1</v>
      </c>
      <c r="E1340" s="6" t="s">
        <v>5</v>
      </c>
      <c r="F1340" s="7">
        <v>33</v>
      </c>
    </row>
    <row r="1341" spans="1:6" ht="28" x14ac:dyDescent="0.3">
      <c r="A1341" s="6" t="s">
        <v>11</v>
      </c>
      <c r="B1341" s="6" t="s">
        <v>76</v>
      </c>
      <c r="C1341" s="6">
        <v>2017</v>
      </c>
      <c r="D1341" s="6" t="s">
        <v>1</v>
      </c>
      <c r="E1341" s="6" t="s">
        <v>5</v>
      </c>
      <c r="F1341" s="7">
        <v>97</v>
      </c>
    </row>
    <row r="1342" spans="1:6" ht="28" x14ac:dyDescent="0.3">
      <c r="A1342" s="6" t="s">
        <v>11</v>
      </c>
      <c r="B1342" s="6" t="s">
        <v>77</v>
      </c>
      <c r="C1342" s="6">
        <v>2017</v>
      </c>
      <c r="D1342" s="6" t="s">
        <v>1</v>
      </c>
      <c r="E1342" s="6" t="s">
        <v>5</v>
      </c>
      <c r="F1342" s="7">
        <v>57</v>
      </c>
    </row>
    <row r="1343" spans="1:6" ht="28" x14ac:dyDescent="0.3">
      <c r="A1343" s="6" t="s">
        <v>11</v>
      </c>
      <c r="B1343" s="6" t="s">
        <v>78</v>
      </c>
      <c r="C1343" s="6">
        <v>2017</v>
      </c>
      <c r="D1343" s="6" t="s">
        <v>1</v>
      </c>
      <c r="E1343" s="6" t="s">
        <v>5</v>
      </c>
      <c r="F1343" s="7">
        <v>33</v>
      </c>
    </row>
    <row r="1344" spans="1:6" ht="28" x14ac:dyDescent="0.3">
      <c r="A1344" s="6" t="s">
        <v>11</v>
      </c>
      <c r="B1344" s="6" t="s">
        <v>79</v>
      </c>
      <c r="C1344" s="6">
        <v>2017</v>
      </c>
      <c r="D1344" s="6" t="s">
        <v>1</v>
      </c>
      <c r="E1344" s="6" t="s">
        <v>5</v>
      </c>
      <c r="F1344" s="7">
        <v>6</v>
      </c>
    </row>
    <row r="1345" spans="1:6" ht="28" x14ac:dyDescent="0.3">
      <c r="A1345" s="6" t="s">
        <v>11</v>
      </c>
      <c r="B1345" s="6" t="s">
        <v>80</v>
      </c>
      <c r="C1345" s="6">
        <v>2017</v>
      </c>
      <c r="D1345" s="6" t="s">
        <v>1</v>
      </c>
      <c r="E1345" s="6" t="s">
        <v>5</v>
      </c>
      <c r="F1345" s="7">
        <v>35</v>
      </c>
    </row>
    <row r="1346" spans="1:6" ht="28" x14ac:dyDescent="0.3">
      <c r="A1346" s="6" t="s">
        <v>11</v>
      </c>
      <c r="B1346" s="6" t="s">
        <v>68</v>
      </c>
      <c r="C1346" s="6">
        <v>2017</v>
      </c>
      <c r="D1346" s="6" t="s">
        <v>1</v>
      </c>
      <c r="E1346" s="6" t="s">
        <v>5</v>
      </c>
      <c r="F1346" s="7">
        <v>86</v>
      </c>
    </row>
    <row r="1347" spans="1:6" ht="28" x14ac:dyDescent="0.3">
      <c r="A1347" s="6" t="s">
        <v>11</v>
      </c>
      <c r="B1347" s="6" t="s">
        <v>69</v>
      </c>
      <c r="C1347" s="6">
        <v>2017</v>
      </c>
      <c r="D1347" s="6" t="s">
        <v>1</v>
      </c>
      <c r="E1347" s="6" t="s">
        <v>5</v>
      </c>
      <c r="F1347" s="7">
        <v>882</v>
      </c>
    </row>
    <row r="1348" spans="1:6" ht="28" x14ac:dyDescent="0.3">
      <c r="A1348" s="6" t="s">
        <v>11</v>
      </c>
      <c r="B1348" s="6" t="s">
        <v>70</v>
      </c>
      <c r="C1348" s="6">
        <v>2017</v>
      </c>
      <c r="D1348" s="6" t="s">
        <v>1</v>
      </c>
      <c r="E1348" s="6" t="s">
        <v>5</v>
      </c>
      <c r="F1348" s="7">
        <v>11</v>
      </c>
    </row>
    <row r="1349" spans="1:6" ht="28" x14ac:dyDescent="0.3">
      <c r="A1349" s="6" t="s">
        <v>11</v>
      </c>
      <c r="B1349" s="6" t="s">
        <v>71</v>
      </c>
      <c r="C1349" s="6">
        <v>2017</v>
      </c>
      <c r="D1349" s="6" t="s">
        <v>1</v>
      </c>
      <c r="E1349" s="6" t="s">
        <v>5</v>
      </c>
      <c r="F1349" s="7">
        <v>7</v>
      </c>
    </row>
    <row r="1350" spans="1:6" ht="28" x14ac:dyDescent="0.3">
      <c r="A1350" s="6" t="s">
        <v>11</v>
      </c>
      <c r="B1350" s="6" t="s">
        <v>72</v>
      </c>
      <c r="C1350" s="6">
        <v>2017</v>
      </c>
      <c r="D1350" s="6" t="s">
        <v>1</v>
      </c>
      <c r="E1350" s="6" t="s">
        <v>5</v>
      </c>
      <c r="F1350" s="7">
        <v>267</v>
      </c>
    </row>
    <row r="1351" spans="1:6" ht="28" x14ac:dyDescent="0.3">
      <c r="A1351" s="6" t="s">
        <v>11</v>
      </c>
      <c r="B1351" s="6" t="s">
        <v>73</v>
      </c>
      <c r="C1351" s="6">
        <v>2017</v>
      </c>
      <c r="D1351" s="6" t="s">
        <v>1</v>
      </c>
      <c r="E1351" s="6" t="s">
        <v>5</v>
      </c>
      <c r="F1351" s="7">
        <v>69</v>
      </c>
    </row>
    <row r="1352" spans="1:6" ht="28" x14ac:dyDescent="0.3">
      <c r="A1352" s="6" t="s">
        <v>11</v>
      </c>
      <c r="B1352" s="6" t="s">
        <v>74</v>
      </c>
      <c r="C1352" s="6">
        <v>2017</v>
      </c>
      <c r="D1352" s="6" t="s">
        <v>1</v>
      </c>
      <c r="E1352" s="6" t="s">
        <v>5</v>
      </c>
      <c r="F1352" s="7">
        <v>22</v>
      </c>
    </row>
    <row r="1353" spans="1:6" ht="28" x14ac:dyDescent="0.3">
      <c r="A1353" s="6" t="s">
        <v>11</v>
      </c>
      <c r="B1353" s="6" t="s">
        <v>75</v>
      </c>
      <c r="C1353" s="6">
        <v>2017</v>
      </c>
      <c r="D1353" s="6" t="s">
        <v>1</v>
      </c>
      <c r="E1353" s="6" t="s">
        <v>5</v>
      </c>
      <c r="F1353" s="7">
        <v>1900</v>
      </c>
    </row>
    <row r="1354" spans="1:6" ht="28" x14ac:dyDescent="0.3">
      <c r="A1354" s="6" t="s">
        <v>12</v>
      </c>
      <c r="B1354" s="6" t="s">
        <v>81</v>
      </c>
      <c r="C1354" s="6">
        <v>2017</v>
      </c>
      <c r="D1354" s="6" t="s">
        <v>1</v>
      </c>
      <c r="E1354" s="6" t="s">
        <v>5</v>
      </c>
      <c r="F1354" s="7">
        <v>63</v>
      </c>
    </row>
    <row r="1355" spans="1:6" ht="28" x14ac:dyDescent="0.3">
      <c r="A1355" s="6" t="s">
        <v>12</v>
      </c>
      <c r="B1355" s="6" t="s">
        <v>82</v>
      </c>
      <c r="C1355" s="6">
        <v>2017</v>
      </c>
      <c r="D1355" s="6" t="s">
        <v>1</v>
      </c>
      <c r="E1355" s="6" t="s">
        <v>5</v>
      </c>
      <c r="F1355" s="7">
        <v>161</v>
      </c>
    </row>
    <row r="1356" spans="1:6" ht="28" x14ac:dyDescent="0.3">
      <c r="A1356" s="6" t="s">
        <v>12</v>
      </c>
      <c r="B1356" s="6" t="s">
        <v>83</v>
      </c>
      <c r="C1356" s="6">
        <v>2017</v>
      </c>
      <c r="D1356" s="6" t="s">
        <v>1</v>
      </c>
      <c r="E1356" s="6" t="s">
        <v>5</v>
      </c>
      <c r="F1356" s="7">
        <v>92</v>
      </c>
    </row>
    <row r="1357" spans="1:6" ht="28" x14ac:dyDescent="0.3">
      <c r="A1357" s="6" t="s">
        <v>12</v>
      </c>
      <c r="B1357" s="6" t="s">
        <v>84</v>
      </c>
      <c r="C1357" s="6">
        <v>2017</v>
      </c>
      <c r="D1357" s="6" t="s">
        <v>1</v>
      </c>
      <c r="E1357" s="6" t="s">
        <v>5</v>
      </c>
      <c r="F1357" s="7">
        <v>16</v>
      </c>
    </row>
    <row r="1358" spans="1:6" ht="28" x14ac:dyDescent="0.3">
      <c r="A1358" s="6" t="s">
        <v>12</v>
      </c>
      <c r="B1358" s="6" t="s">
        <v>85</v>
      </c>
      <c r="C1358" s="6">
        <v>2017</v>
      </c>
      <c r="D1358" s="6" t="s">
        <v>1</v>
      </c>
      <c r="E1358" s="6" t="s">
        <v>5</v>
      </c>
      <c r="F1358" s="7">
        <v>649</v>
      </c>
    </row>
    <row r="1359" spans="1:6" ht="28" x14ac:dyDescent="0.3">
      <c r="A1359" s="6" t="s">
        <v>12</v>
      </c>
      <c r="B1359" s="6" t="s">
        <v>86</v>
      </c>
      <c r="C1359" s="6">
        <v>2017</v>
      </c>
      <c r="D1359" s="6" t="s">
        <v>1</v>
      </c>
      <c r="E1359" s="6" t="s">
        <v>5</v>
      </c>
      <c r="F1359" s="7">
        <v>17</v>
      </c>
    </row>
    <row r="1360" spans="1:6" ht="28" x14ac:dyDescent="0.3">
      <c r="A1360" s="6" t="s">
        <v>12</v>
      </c>
      <c r="B1360" s="6" t="s">
        <v>87</v>
      </c>
      <c r="C1360" s="6">
        <v>2017</v>
      </c>
      <c r="D1360" s="6" t="s">
        <v>1</v>
      </c>
      <c r="E1360" s="6" t="s">
        <v>5</v>
      </c>
      <c r="F1360" s="7">
        <v>123</v>
      </c>
    </row>
    <row r="1361" spans="1:6" ht="28" x14ac:dyDescent="0.3">
      <c r="A1361" s="6" t="s">
        <v>12</v>
      </c>
      <c r="B1361" s="6" t="s">
        <v>88</v>
      </c>
      <c r="C1361" s="6">
        <v>2017</v>
      </c>
      <c r="D1361" s="6" t="s">
        <v>1</v>
      </c>
      <c r="E1361" s="6" t="s">
        <v>5</v>
      </c>
      <c r="F1361" s="7">
        <v>135</v>
      </c>
    </row>
    <row r="1362" spans="1:6" ht="28" x14ac:dyDescent="0.3">
      <c r="A1362" s="6" t="s">
        <v>13</v>
      </c>
      <c r="B1362" s="6" t="s">
        <v>89</v>
      </c>
      <c r="C1362" s="6">
        <v>2017</v>
      </c>
      <c r="D1362" s="6" t="s">
        <v>1</v>
      </c>
      <c r="E1362" s="6" t="s">
        <v>5</v>
      </c>
      <c r="F1362" s="7">
        <v>6</v>
      </c>
    </row>
    <row r="1363" spans="1:6" ht="28" x14ac:dyDescent="0.3">
      <c r="A1363" s="6" t="s">
        <v>13</v>
      </c>
      <c r="B1363" s="6" t="s">
        <v>98</v>
      </c>
      <c r="C1363" s="6">
        <v>2017</v>
      </c>
      <c r="D1363" s="6" t="s">
        <v>1</v>
      </c>
      <c r="E1363" s="6" t="s">
        <v>5</v>
      </c>
      <c r="F1363" s="7">
        <v>10</v>
      </c>
    </row>
    <row r="1364" spans="1:6" ht="28" x14ac:dyDescent="0.3">
      <c r="A1364" s="6" t="s">
        <v>13</v>
      </c>
      <c r="B1364" s="6" t="s">
        <v>99</v>
      </c>
      <c r="C1364" s="6">
        <v>2017</v>
      </c>
      <c r="D1364" s="6" t="s">
        <v>1</v>
      </c>
      <c r="E1364" s="6" t="s">
        <v>5</v>
      </c>
      <c r="F1364" s="7">
        <v>17</v>
      </c>
    </row>
    <row r="1365" spans="1:6" ht="28" x14ac:dyDescent="0.3">
      <c r="A1365" s="6" t="s">
        <v>13</v>
      </c>
      <c r="B1365" s="6" t="s">
        <v>90</v>
      </c>
      <c r="C1365" s="6">
        <v>2017</v>
      </c>
      <c r="D1365" s="6" t="s">
        <v>1</v>
      </c>
      <c r="E1365" s="6" t="s">
        <v>5</v>
      </c>
      <c r="F1365" s="7">
        <v>80</v>
      </c>
    </row>
    <row r="1366" spans="1:6" ht="28" x14ac:dyDescent="0.3">
      <c r="A1366" s="6" t="s">
        <v>13</v>
      </c>
      <c r="B1366" s="6" t="s">
        <v>91</v>
      </c>
      <c r="C1366" s="6">
        <v>2017</v>
      </c>
      <c r="D1366" s="6" t="s">
        <v>1</v>
      </c>
      <c r="E1366" s="6" t="s">
        <v>5</v>
      </c>
      <c r="F1366" s="7">
        <v>18</v>
      </c>
    </row>
    <row r="1367" spans="1:6" ht="28" x14ac:dyDescent="0.3">
      <c r="A1367" s="6" t="s">
        <v>13</v>
      </c>
      <c r="B1367" s="6" t="s">
        <v>92</v>
      </c>
      <c r="C1367" s="6">
        <v>2017</v>
      </c>
      <c r="D1367" s="6" t="s">
        <v>1</v>
      </c>
      <c r="E1367" s="6" t="s">
        <v>5</v>
      </c>
      <c r="F1367" s="7">
        <v>27</v>
      </c>
    </row>
    <row r="1368" spans="1:6" ht="28" x14ac:dyDescent="0.3">
      <c r="A1368" s="6" t="s">
        <v>13</v>
      </c>
      <c r="B1368" s="6" t="s">
        <v>93</v>
      </c>
      <c r="C1368" s="6">
        <v>2017</v>
      </c>
      <c r="D1368" s="6" t="s">
        <v>1</v>
      </c>
      <c r="E1368" s="6" t="s">
        <v>5</v>
      </c>
      <c r="F1368" s="7">
        <v>10</v>
      </c>
    </row>
    <row r="1369" spans="1:6" ht="28" x14ac:dyDescent="0.3">
      <c r="A1369" s="6" t="s">
        <v>13</v>
      </c>
      <c r="B1369" s="6" t="s">
        <v>94</v>
      </c>
      <c r="C1369" s="6">
        <v>2017</v>
      </c>
      <c r="D1369" s="6" t="s">
        <v>1</v>
      </c>
      <c r="E1369" s="6" t="s">
        <v>5</v>
      </c>
      <c r="F1369" s="7">
        <v>6</v>
      </c>
    </row>
    <row r="1370" spans="1:6" ht="28" x14ac:dyDescent="0.3">
      <c r="A1370" s="6" t="s">
        <v>13</v>
      </c>
      <c r="B1370" s="6" t="s">
        <v>95</v>
      </c>
      <c r="C1370" s="6">
        <v>2017</v>
      </c>
      <c r="D1370" s="6" t="s">
        <v>1</v>
      </c>
      <c r="E1370" s="6" t="s">
        <v>5</v>
      </c>
      <c r="F1370" s="7">
        <v>6</v>
      </c>
    </row>
    <row r="1371" spans="1:6" ht="28" x14ac:dyDescent="0.3">
      <c r="A1371" s="6" t="s">
        <v>13</v>
      </c>
      <c r="B1371" s="6" t="s">
        <v>96</v>
      </c>
      <c r="C1371" s="6">
        <v>2017</v>
      </c>
      <c r="D1371" s="6" t="s">
        <v>1</v>
      </c>
      <c r="E1371" s="6" t="s">
        <v>5</v>
      </c>
      <c r="F1371" s="7">
        <v>58</v>
      </c>
    </row>
    <row r="1372" spans="1:6" ht="28" x14ac:dyDescent="0.3">
      <c r="A1372" s="6" t="s">
        <v>13</v>
      </c>
      <c r="B1372" s="6" t="s">
        <v>97</v>
      </c>
      <c r="C1372" s="6">
        <v>2017</v>
      </c>
      <c r="D1372" s="6" t="s">
        <v>1</v>
      </c>
      <c r="E1372" s="6" t="s">
        <v>5</v>
      </c>
      <c r="F1372" s="7">
        <v>50</v>
      </c>
    </row>
    <row r="1373" spans="1:6" ht="28" x14ac:dyDescent="0.3">
      <c r="A1373" s="6" t="s">
        <v>14</v>
      </c>
      <c r="B1373" s="6" t="s">
        <v>100</v>
      </c>
      <c r="C1373" s="6">
        <v>2017</v>
      </c>
      <c r="D1373" s="6" t="s">
        <v>1</v>
      </c>
      <c r="E1373" s="6" t="s">
        <v>5</v>
      </c>
      <c r="F1373" s="7">
        <v>132</v>
      </c>
    </row>
    <row r="1374" spans="1:6" ht="28" x14ac:dyDescent="0.3">
      <c r="A1374" s="6" t="s">
        <v>14</v>
      </c>
      <c r="B1374" s="6" t="s">
        <v>101</v>
      </c>
      <c r="C1374" s="6">
        <v>2017</v>
      </c>
      <c r="D1374" s="6" t="s">
        <v>1</v>
      </c>
      <c r="E1374" s="6" t="s">
        <v>5</v>
      </c>
      <c r="F1374" s="7">
        <v>25</v>
      </c>
    </row>
    <row r="1375" spans="1:6" ht="28" x14ac:dyDescent="0.3">
      <c r="A1375" s="6" t="s">
        <v>14</v>
      </c>
      <c r="B1375" s="6" t="s">
        <v>102</v>
      </c>
      <c r="C1375" s="6">
        <v>2017</v>
      </c>
      <c r="D1375" s="6" t="s">
        <v>1</v>
      </c>
      <c r="E1375" s="6" t="s">
        <v>5</v>
      </c>
      <c r="F1375" s="7">
        <v>783</v>
      </c>
    </row>
    <row r="1376" spans="1:6" ht="28" x14ac:dyDescent="0.3">
      <c r="A1376" s="6" t="s">
        <v>14</v>
      </c>
      <c r="B1376" s="6" t="s">
        <v>103</v>
      </c>
      <c r="C1376" s="6">
        <v>2017</v>
      </c>
      <c r="D1376" s="6" t="s">
        <v>1</v>
      </c>
      <c r="E1376" s="6" t="s">
        <v>5</v>
      </c>
      <c r="F1376" s="7">
        <v>79</v>
      </c>
    </row>
    <row r="1377" spans="1:6" ht="28" x14ac:dyDescent="0.3">
      <c r="A1377" s="6" t="s">
        <v>14</v>
      </c>
      <c r="B1377" s="6" t="s">
        <v>104</v>
      </c>
      <c r="C1377" s="6">
        <v>2017</v>
      </c>
      <c r="D1377" s="6" t="s">
        <v>1</v>
      </c>
      <c r="E1377" s="6" t="s">
        <v>5</v>
      </c>
      <c r="F1377" s="7">
        <v>206</v>
      </c>
    </row>
    <row r="1378" spans="1:6" ht="28" x14ac:dyDescent="0.3">
      <c r="A1378" s="6" t="s">
        <v>14</v>
      </c>
      <c r="B1378" s="6" t="s">
        <v>105</v>
      </c>
      <c r="C1378" s="6">
        <v>2017</v>
      </c>
      <c r="D1378" s="6" t="s">
        <v>1</v>
      </c>
      <c r="E1378" s="6" t="s">
        <v>5</v>
      </c>
      <c r="F1378" s="7">
        <v>205</v>
      </c>
    </row>
    <row r="1379" spans="1:6" ht="28" x14ac:dyDescent="0.3">
      <c r="A1379" s="6" t="s">
        <v>15</v>
      </c>
      <c r="B1379" s="6" t="s">
        <v>106</v>
      </c>
      <c r="C1379" s="6">
        <v>2017</v>
      </c>
      <c r="D1379" s="6" t="s">
        <v>1</v>
      </c>
      <c r="E1379" s="6" t="s">
        <v>5</v>
      </c>
      <c r="F1379" s="7">
        <v>69</v>
      </c>
    </row>
    <row r="1380" spans="1:6" ht="28" x14ac:dyDescent="0.3">
      <c r="A1380" s="6" t="s">
        <v>15</v>
      </c>
      <c r="B1380" s="6" t="s">
        <v>107</v>
      </c>
      <c r="C1380" s="6">
        <v>2017</v>
      </c>
      <c r="D1380" s="6" t="s">
        <v>1</v>
      </c>
      <c r="E1380" s="6" t="s">
        <v>5</v>
      </c>
      <c r="F1380" s="7">
        <v>6</v>
      </c>
    </row>
    <row r="1381" spans="1:6" ht="28" x14ac:dyDescent="0.3">
      <c r="A1381" s="6" t="s">
        <v>15</v>
      </c>
      <c r="B1381" s="6" t="s">
        <v>108</v>
      </c>
      <c r="C1381" s="6">
        <v>2017</v>
      </c>
      <c r="D1381" s="6" t="s">
        <v>1</v>
      </c>
      <c r="E1381" s="6" t="s">
        <v>5</v>
      </c>
      <c r="F1381" s="7">
        <v>42</v>
      </c>
    </row>
    <row r="1382" spans="1:6" ht="28" x14ac:dyDescent="0.3">
      <c r="A1382" s="6" t="s">
        <v>6</v>
      </c>
      <c r="B1382" s="6" t="s">
        <v>17</v>
      </c>
      <c r="C1382" s="6">
        <v>2017</v>
      </c>
      <c r="D1382" s="6" t="s">
        <v>1</v>
      </c>
      <c r="E1382" s="6" t="s">
        <v>4</v>
      </c>
      <c r="F1382" s="7">
        <v>6</v>
      </c>
    </row>
    <row r="1383" spans="1:6" ht="28" x14ac:dyDescent="0.3">
      <c r="A1383" s="6" t="s">
        <v>6</v>
      </c>
      <c r="B1383" s="6" t="s">
        <v>18</v>
      </c>
      <c r="C1383" s="6">
        <v>2017</v>
      </c>
      <c r="D1383" s="6" t="s">
        <v>1</v>
      </c>
      <c r="E1383" s="6" t="s">
        <v>4</v>
      </c>
      <c r="F1383" s="7">
        <v>1712</v>
      </c>
    </row>
    <row r="1384" spans="1:6" ht="28" x14ac:dyDescent="0.3">
      <c r="A1384" s="6" t="s">
        <v>6</v>
      </c>
      <c r="B1384" s="6" t="s">
        <v>19</v>
      </c>
      <c r="C1384" s="6">
        <v>2017</v>
      </c>
      <c r="D1384" s="6" t="s">
        <v>1</v>
      </c>
      <c r="E1384" s="6" t="s">
        <v>4</v>
      </c>
      <c r="F1384" s="7">
        <v>2211</v>
      </c>
    </row>
    <row r="1385" spans="1:6" ht="28" x14ac:dyDescent="0.3">
      <c r="A1385" s="6" t="s">
        <v>6</v>
      </c>
      <c r="B1385" s="6" t="s">
        <v>20</v>
      </c>
      <c r="C1385" s="6">
        <v>2017</v>
      </c>
      <c r="D1385" s="6" t="s">
        <v>1</v>
      </c>
      <c r="E1385" s="6" t="s">
        <v>4</v>
      </c>
      <c r="F1385" s="7">
        <v>3512</v>
      </c>
    </row>
    <row r="1386" spans="1:6" ht="28" x14ac:dyDescent="0.3">
      <c r="A1386" s="6" t="s">
        <v>7</v>
      </c>
      <c r="B1386" s="6" t="s">
        <v>21</v>
      </c>
      <c r="C1386" s="6">
        <v>2017</v>
      </c>
      <c r="D1386" s="6" t="s">
        <v>1</v>
      </c>
      <c r="E1386" s="6" t="s">
        <v>4</v>
      </c>
      <c r="F1386" s="7">
        <v>722</v>
      </c>
    </row>
    <row r="1387" spans="1:6" ht="28" x14ac:dyDescent="0.3">
      <c r="A1387" s="6" t="s">
        <v>7</v>
      </c>
      <c r="B1387" s="6" t="s">
        <v>22</v>
      </c>
      <c r="C1387" s="6">
        <v>2017</v>
      </c>
      <c r="D1387" s="6" t="s">
        <v>1</v>
      </c>
      <c r="E1387" s="6" t="s">
        <v>4</v>
      </c>
      <c r="F1387" s="7">
        <v>5</v>
      </c>
    </row>
    <row r="1388" spans="1:6" ht="28" x14ac:dyDescent="0.3">
      <c r="A1388" s="6" t="s">
        <v>7</v>
      </c>
      <c r="B1388" s="6" t="s">
        <v>23</v>
      </c>
      <c r="C1388" s="6">
        <v>2017</v>
      </c>
      <c r="D1388" s="6" t="s">
        <v>1</v>
      </c>
      <c r="E1388" s="6" t="s">
        <v>4</v>
      </c>
      <c r="F1388" s="7">
        <v>5</v>
      </c>
    </row>
    <row r="1389" spans="1:6" ht="28" x14ac:dyDescent="0.3">
      <c r="A1389" s="6" t="s">
        <v>8</v>
      </c>
      <c r="B1389" s="6" t="s">
        <v>24</v>
      </c>
      <c r="C1389" s="6">
        <v>2017</v>
      </c>
      <c r="D1389" s="6" t="s">
        <v>1</v>
      </c>
      <c r="E1389" s="6" t="s">
        <v>4</v>
      </c>
      <c r="F1389" s="7">
        <v>351</v>
      </c>
    </row>
    <row r="1390" spans="1:6" ht="28" x14ac:dyDescent="0.3">
      <c r="A1390" s="6" t="s">
        <v>8</v>
      </c>
      <c r="B1390" s="6" t="s">
        <v>25</v>
      </c>
      <c r="C1390" s="6">
        <v>2017</v>
      </c>
      <c r="D1390" s="6" t="s">
        <v>1</v>
      </c>
      <c r="E1390" s="6" t="s">
        <v>4</v>
      </c>
      <c r="F1390" s="7">
        <v>91</v>
      </c>
    </row>
    <row r="1391" spans="1:6" ht="28" x14ac:dyDescent="0.3">
      <c r="A1391" s="6" t="s">
        <v>9</v>
      </c>
      <c r="B1391" s="6" t="s">
        <v>26</v>
      </c>
      <c r="C1391" s="6">
        <v>2017</v>
      </c>
      <c r="D1391" s="6" t="s">
        <v>1</v>
      </c>
      <c r="E1391" s="6" t="s">
        <v>4</v>
      </c>
      <c r="F1391" s="7">
        <v>6</v>
      </c>
    </row>
    <row r="1392" spans="1:6" ht="28" x14ac:dyDescent="0.3">
      <c r="A1392" s="6" t="s">
        <v>9</v>
      </c>
      <c r="B1392" s="6" t="s">
        <v>35</v>
      </c>
      <c r="C1392" s="6">
        <v>2017</v>
      </c>
      <c r="D1392" s="6" t="s">
        <v>1</v>
      </c>
      <c r="E1392" s="6" t="s">
        <v>4</v>
      </c>
      <c r="F1392" s="7">
        <v>5</v>
      </c>
    </row>
    <row r="1393" spans="1:6" ht="28" x14ac:dyDescent="0.3">
      <c r="A1393" s="6" t="s">
        <v>9</v>
      </c>
      <c r="B1393" s="6" t="s">
        <v>36</v>
      </c>
      <c r="C1393" s="6">
        <v>2017</v>
      </c>
      <c r="D1393" s="6" t="s">
        <v>1</v>
      </c>
      <c r="E1393" s="6" t="s">
        <v>4</v>
      </c>
      <c r="F1393" s="7">
        <v>10</v>
      </c>
    </row>
    <row r="1394" spans="1:6" ht="28" x14ac:dyDescent="0.3">
      <c r="A1394" s="6" t="s">
        <v>9</v>
      </c>
      <c r="B1394" s="6" t="s">
        <v>37</v>
      </c>
      <c r="C1394" s="6">
        <v>2017</v>
      </c>
      <c r="D1394" s="6" t="s">
        <v>1</v>
      </c>
      <c r="E1394" s="6" t="s">
        <v>4</v>
      </c>
      <c r="F1394" s="7">
        <v>5</v>
      </c>
    </row>
    <row r="1395" spans="1:6" ht="28" x14ac:dyDescent="0.3">
      <c r="A1395" s="6" t="s">
        <v>9</v>
      </c>
      <c r="B1395" s="6" t="s">
        <v>38</v>
      </c>
      <c r="C1395" s="6">
        <v>2017</v>
      </c>
      <c r="D1395" s="6" t="s">
        <v>1</v>
      </c>
      <c r="E1395" s="6" t="s">
        <v>4</v>
      </c>
      <c r="F1395" s="7">
        <v>216</v>
      </c>
    </row>
    <row r="1396" spans="1:6" ht="28" x14ac:dyDescent="0.3">
      <c r="A1396" s="6" t="s">
        <v>9</v>
      </c>
      <c r="B1396" s="6" t="s">
        <v>39</v>
      </c>
      <c r="C1396" s="6">
        <v>2017</v>
      </c>
      <c r="D1396" s="6" t="s">
        <v>1</v>
      </c>
      <c r="E1396" s="6" t="s">
        <v>4</v>
      </c>
      <c r="F1396" s="7">
        <v>5</v>
      </c>
    </row>
    <row r="1397" spans="1:6" ht="28" x14ac:dyDescent="0.3">
      <c r="A1397" s="6" t="s">
        <v>9</v>
      </c>
      <c r="B1397" s="6" t="s">
        <v>40</v>
      </c>
      <c r="C1397" s="6">
        <v>2017</v>
      </c>
      <c r="D1397" s="6" t="s">
        <v>1</v>
      </c>
      <c r="E1397" s="6" t="s">
        <v>4</v>
      </c>
      <c r="F1397" s="7">
        <v>6</v>
      </c>
    </row>
    <row r="1398" spans="1:6" ht="28" x14ac:dyDescent="0.3">
      <c r="A1398" s="6" t="s">
        <v>9</v>
      </c>
      <c r="B1398" s="6" t="s">
        <v>41</v>
      </c>
      <c r="C1398" s="6">
        <v>2017</v>
      </c>
      <c r="D1398" s="6" t="s">
        <v>1</v>
      </c>
      <c r="E1398" s="6" t="s">
        <v>4</v>
      </c>
      <c r="F1398" s="7">
        <v>409</v>
      </c>
    </row>
    <row r="1399" spans="1:6" ht="28" x14ac:dyDescent="0.3">
      <c r="A1399" s="6" t="s">
        <v>9</v>
      </c>
      <c r="B1399" s="6" t="s">
        <v>42</v>
      </c>
      <c r="C1399" s="6">
        <v>2017</v>
      </c>
      <c r="D1399" s="6" t="s">
        <v>1</v>
      </c>
      <c r="E1399" s="6" t="s">
        <v>4</v>
      </c>
      <c r="F1399" s="7">
        <v>585</v>
      </c>
    </row>
    <row r="1400" spans="1:6" ht="28" x14ac:dyDescent="0.3">
      <c r="A1400" s="6" t="s">
        <v>9</v>
      </c>
      <c r="B1400" s="6" t="s">
        <v>43</v>
      </c>
      <c r="C1400" s="6">
        <v>2017</v>
      </c>
      <c r="D1400" s="6" t="s">
        <v>1</v>
      </c>
      <c r="E1400" s="6" t="s">
        <v>4</v>
      </c>
      <c r="F1400" s="7">
        <v>300</v>
      </c>
    </row>
    <row r="1401" spans="1:6" ht="28" x14ac:dyDescent="0.3">
      <c r="A1401" s="6" t="s">
        <v>9</v>
      </c>
      <c r="B1401" s="6" t="s">
        <v>44</v>
      </c>
      <c r="C1401" s="6">
        <v>2017</v>
      </c>
      <c r="D1401" s="6" t="s">
        <v>1</v>
      </c>
      <c r="E1401" s="6" t="s">
        <v>4</v>
      </c>
      <c r="F1401" s="7">
        <v>92</v>
      </c>
    </row>
    <row r="1402" spans="1:6" ht="28" x14ac:dyDescent="0.3">
      <c r="A1402" s="6" t="s">
        <v>9</v>
      </c>
      <c r="B1402" s="6" t="s">
        <v>27</v>
      </c>
      <c r="C1402" s="6">
        <v>2017</v>
      </c>
      <c r="D1402" s="6" t="s">
        <v>1</v>
      </c>
      <c r="E1402" s="6" t="s">
        <v>4</v>
      </c>
      <c r="F1402" s="7">
        <v>41</v>
      </c>
    </row>
    <row r="1403" spans="1:6" ht="28" x14ac:dyDescent="0.3">
      <c r="A1403" s="6" t="s">
        <v>9</v>
      </c>
      <c r="B1403" s="6" t="s">
        <v>45</v>
      </c>
      <c r="C1403" s="6">
        <v>2017</v>
      </c>
      <c r="D1403" s="6" t="s">
        <v>1</v>
      </c>
      <c r="E1403" s="6" t="s">
        <v>4</v>
      </c>
      <c r="F1403" s="7">
        <v>6</v>
      </c>
    </row>
    <row r="1404" spans="1:6" ht="28" x14ac:dyDescent="0.3">
      <c r="A1404" s="6" t="s">
        <v>9</v>
      </c>
      <c r="B1404" s="6" t="s">
        <v>46</v>
      </c>
      <c r="C1404" s="6">
        <v>2017</v>
      </c>
      <c r="D1404" s="6" t="s">
        <v>1</v>
      </c>
      <c r="E1404" s="6" t="s">
        <v>4</v>
      </c>
      <c r="F1404" s="7">
        <v>281</v>
      </c>
    </row>
    <row r="1405" spans="1:6" ht="28" x14ac:dyDescent="0.3">
      <c r="A1405" s="6" t="s">
        <v>9</v>
      </c>
      <c r="B1405" s="6" t="s">
        <v>47</v>
      </c>
      <c r="C1405" s="6">
        <v>2017</v>
      </c>
      <c r="D1405" s="6" t="s">
        <v>1</v>
      </c>
      <c r="E1405" s="6" t="s">
        <v>4</v>
      </c>
      <c r="F1405" s="7">
        <v>6</v>
      </c>
    </row>
    <row r="1406" spans="1:6" ht="28" x14ac:dyDescent="0.3">
      <c r="A1406" s="6" t="s">
        <v>9</v>
      </c>
      <c r="B1406" s="6" t="s">
        <v>48</v>
      </c>
      <c r="C1406" s="6">
        <v>2017</v>
      </c>
      <c r="D1406" s="6" t="s">
        <v>1</v>
      </c>
      <c r="E1406" s="6" t="s">
        <v>4</v>
      </c>
      <c r="F1406" s="7">
        <v>84</v>
      </c>
    </row>
    <row r="1407" spans="1:6" ht="28" x14ac:dyDescent="0.3">
      <c r="A1407" s="6" t="s">
        <v>9</v>
      </c>
      <c r="B1407" s="6" t="s">
        <v>49</v>
      </c>
      <c r="C1407" s="6">
        <v>2017</v>
      </c>
      <c r="D1407" s="6" t="s">
        <v>1</v>
      </c>
      <c r="E1407" s="6" t="s">
        <v>4</v>
      </c>
      <c r="F1407" s="7">
        <v>217</v>
      </c>
    </row>
    <row r="1408" spans="1:6" ht="28" x14ac:dyDescent="0.3">
      <c r="A1408" s="6" t="s">
        <v>9</v>
      </c>
      <c r="B1408" s="6" t="s">
        <v>50</v>
      </c>
      <c r="C1408" s="6">
        <v>2017</v>
      </c>
      <c r="D1408" s="6" t="s">
        <v>1</v>
      </c>
      <c r="E1408" s="6" t="s">
        <v>4</v>
      </c>
      <c r="F1408" s="7">
        <v>411</v>
      </c>
    </row>
    <row r="1409" spans="1:6" ht="28" x14ac:dyDescent="0.3">
      <c r="A1409" s="6" t="s">
        <v>9</v>
      </c>
      <c r="B1409" s="6" t="s">
        <v>51</v>
      </c>
      <c r="C1409" s="6">
        <v>2017</v>
      </c>
      <c r="D1409" s="6" t="s">
        <v>1</v>
      </c>
      <c r="E1409" s="6" t="s">
        <v>4</v>
      </c>
      <c r="F1409" s="7">
        <v>544</v>
      </c>
    </row>
    <row r="1410" spans="1:6" ht="28" x14ac:dyDescent="0.3">
      <c r="A1410" s="6" t="s">
        <v>9</v>
      </c>
      <c r="B1410" s="6" t="s">
        <v>52</v>
      </c>
      <c r="C1410" s="6">
        <v>2017</v>
      </c>
      <c r="D1410" s="6" t="s">
        <v>1</v>
      </c>
      <c r="E1410" s="6" t="s">
        <v>4</v>
      </c>
      <c r="F1410" s="7">
        <v>534</v>
      </c>
    </row>
    <row r="1411" spans="1:6" ht="28" x14ac:dyDescent="0.3">
      <c r="A1411" s="6" t="s">
        <v>9</v>
      </c>
      <c r="B1411" s="6" t="s">
        <v>53</v>
      </c>
      <c r="C1411" s="6">
        <v>2017</v>
      </c>
      <c r="D1411" s="6" t="s">
        <v>1</v>
      </c>
      <c r="E1411" s="6" t="s">
        <v>4</v>
      </c>
      <c r="F1411" s="7">
        <v>454</v>
      </c>
    </row>
    <row r="1412" spans="1:6" ht="28" x14ac:dyDescent="0.3">
      <c r="A1412" s="6" t="s">
        <v>9</v>
      </c>
      <c r="B1412" s="6" t="s">
        <v>54</v>
      </c>
      <c r="C1412" s="6">
        <v>2017</v>
      </c>
      <c r="D1412" s="6" t="s">
        <v>1</v>
      </c>
      <c r="E1412" s="6" t="s">
        <v>4</v>
      </c>
      <c r="F1412" s="7">
        <v>159</v>
      </c>
    </row>
    <row r="1413" spans="1:6" ht="28" x14ac:dyDescent="0.3">
      <c r="A1413" s="6" t="s">
        <v>9</v>
      </c>
      <c r="B1413" s="6" t="s">
        <v>28</v>
      </c>
      <c r="C1413" s="6">
        <v>2017</v>
      </c>
      <c r="D1413" s="6" t="s">
        <v>1</v>
      </c>
      <c r="E1413" s="6" t="s">
        <v>4</v>
      </c>
      <c r="F1413" s="7">
        <v>94</v>
      </c>
    </row>
    <row r="1414" spans="1:6" ht="28" x14ac:dyDescent="0.3">
      <c r="A1414" s="6" t="s">
        <v>9</v>
      </c>
      <c r="B1414" s="6" t="s">
        <v>55</v>
      </c>
      <c r="C1414" s="6">
        <v>2017</v>
      </c>
      <c r="D1414" s="6" t="s">
        <v>1</v>
      </c>
      <c r="E1414" s="6" t="s">
        <v>4</v>
      </c>
      <c r="F1414" s="7">
        <v>223</v>
      </c>
    </row>
    <row r="1415" spans="1:6" ht="28" x14ac:dyDescent="0.3">
      <c r="A1415" s="6" t="s">
        <v>9</v>
      </c>
      <c r="B1415" s="6" t="s">
        <v>56</v>
      </c>
      <c r="C1415" s="6">
        <v>2017</v>
      </c>
      <c r="D1415" s="6" t="s">
        <v>1</v>
      </c>
      <c r="E1415" s="6" t="s">
        <v>4</v>
      </c>
      <c r="F1415" s="7">
        <v>854</v>
      </c>
    </row>
    <row r="1416" spans="1:6" ht="28" x14ac:dyDescent="0.3">
      <c r="A1416" s="6" t="s">
        <v>9</v>
      </c>
      <c r="B1416" s="6" t="s">
        <v>57</v>
      </c>
      <c r="C1416" s="6">
        <v>2017</v>
      </c>
      <c r="D1416" s="6" t="s">
        <v>1</v>
      </c>
      <c r="E1416" s="6" t="s">
        <v>4</v>
      </c>
      <c r="F1416" s="7">
        <v>153</v>
      </c>
    </row>
    <row r="1417" spans="1:6" ht="28" x14ac:dyDescent="0.3">
      <c r="A1417" s="6" t="s">
        <v>9</v>
      </c>
      <c r="B1417" s="6" t="s">
        <v>58</v>
      </c>
      <c r="C1417" s="6">
        <v>2017</v>
      </c>
      <c r="D1417" s="6" t="s">
        <v>1</v>
      </c>
      <c r="E1417" s="6" t="s">
        <v>4</v>
      </c>
      <c r="F1417" s="7">
        <v>454</v>
      </c>
    </row>
    <row r="1418" spans="1:6" ht="28" x14ac:dyDescent="0.3">
      <c r="A1418" s="6" t="s">
        <v>9</v>
      </c>
      <c r="B1418" s="6" t="s">
        <v>29</v>
      </c>
      <c r="C1418" s="6">
        <v>2017</v>
      </c>
      <c r="D1418" s="6" t="s">
        <v>1</v>
      </c>
      <c r="E1418" s="6" t="s">
        <v>4</v>
      </c>
      <c r="F1418" s="7">
        <v>6</v>
      </c>
    </row>
    <row r="1419" spans="1:6" ht="28" x14ac:dyDescent="0.3">
      <c r="A1419" s="6" t="s">
        <v>9</v>
      </c>
      <c r="B1419" s="6" t="s">
        <v>30</v>
      </c>
      <c r="C1419" s="6">
        <v>2017</v>
      </c>
      <c r="D1419" s="6" t="s">
        <v>1</v>
      </c>
      <c r="E1419" s="6" t="s">
        <v>4</v>
      </c>
      <c r="F1419" s="7">
        <v>6</v>
      </c>
    </row>
    <row r="1420" spans="1:6" ht="28" x14ac:dyDescent="0.3">
      <c r="A1420" s="6" t="s">
        <v>9</v>
      </c>
      <c r="B1420" s="6" t="s">
        <v>31</v>
      </c>
      <c r="C1420" s="6">
        <v>2017</v>
      </c>
      <c r="D1420" s="6" t="s">
        <v>1</v>
      </c>
      <c r="E1420" s="6" t="s">
        <v>4</v>
      </c>
      <c r="F1420" s="7">
        <v>299</v>
      </c>
    </row>
    <row r="1421" spans="1:6" ht="28" x14ac:dyDescent="0.3">
      <c r="A1421" s="6" t="s">
        <v>9</v>
      </c>
      <c r="B1421" s="6" t="s">
        <v>32</v>
      </c>
      <c r="C1421" s="6">
        <v>2017</v>
      </c>
      <c r="D1421" s="6" t="s">
        <v>1</v>
      </c>
      <c r="E1421" s="6" t="s">
        <v>4</v>
      </c>
      <c r="F1421" s="7">
        <v>6</v>
      </c>
    </row>
    <row r="1422" spans="1:6" ht="28" x14ac:dyDescent="0.3">
      <c r="A1422" s="6" t="s">
        <v>9</v>
      </c>
      <c r="B1422" s="6" t="s">
        <v>33</v>
      </c>
      <c r="C1422" s="6">
        <v>2017</v>
      </c>
      <c r="D1422" s="6" t="s">
        <v>1</v>
      </c>
      <c r="E1422" s="6" t="s">
        <v>4</v>
      </c>
      <c r="F1422" s="7">
        <v>6</v>
      </c>
    </row>
    <row r="1423" spans="1:6" ht="28" x14ac:dyDescent="0.3">
      <c r="A1423" s="6" t="s">
        <v>9</v>
      </c>
      <c r="B1423" s="6" t="s">
        <v>34</v>
      </c>
      <c r="C1423" s="6">
        <v>2017</v>
      </c>
      <c r="D1423" s="6" t="s">
        <v>1</v>
      </c>
      <c r="E1423" s="6" t="s">
        <v>4</v>
      </c>
      <c r="F1423" s="7">
        <v>7</v>
      </c>
    </row>
    <row r="1424" spans="1:6" ht="28" x14ac:dyDescent="0.3">
      <c r="A1424" s="6" t="s">
        <v>10</v>
      </c>
      <c r="B1424" s="6" t="s">
        <v>59</v>
      </c>
      <c r="C1424" s="6">
        <v>2017</v>
      </c>
      <c r="D1424" s="6" t="s">
        <v>1</v>
      </c>
      <c r="E1424" s="6" t="s">
        <v>4</v>
      </c>
      <c r="F1424" s="7">
        <v>52</v>
      </c>
    </row>
    <row r="1425" spans="1:6" ht="28" x14ac:dyDescent="0.3">
      <c r="A1425" s="6" t="s">
        <v>10</v>
      </c>
      <c r="B1425" s="6" t="s">
        <v>60</v>
      </c>
      <c r="C1425" s="6">
        <v>2017</v>
      </c>
      <c r="D1425" s="6" t="s">
        <v>1</v>
      </c>
      <c r="E1425" s="6" t="s">
        <v>4</v>
      </c>
      <c r="F1425" s="7">
        <v>5</v>
      </c>
    </row>
    <row r="1426" spans="1:6" ht="28" x14ac:dyDescent="0.3">
      <c r="A1426" s="6" t="s">
        <v>10</v>
      </c>
      <c r="B1426" s="6" t="s">
        <v>61</v>
      </c>
      <c r="C1426" s="6">
        <v>2017</v>
      </c>
      <c r="D1426" s="6" t="s">
        <v>1</v>
      </c>
      <c r="E1426" s="6" t="s">
        <v>4</v>
      </c>
      <c r="F1426" s="7">
        <v>7</v>
      </c>
    </row>
    <row r="1427" spans="1:6" ht="28" x14ac:dyDescent="0.3">
      <c r="A1427" s="6" t="s">
        <v>10</v>
      </c>
      <c r="B1427" s="6" t="s">
        <v>62</v>
      </c>
      <c r="C1427" s="6">
        <v>2017</v>
      </c>
      <c r="D1427" s="6" t="s">
        <v>1</v>
      </c>
      <c r="E1427" s="6" t="s">
        <v>4</v>
      </c>
      <c r="F1427" s="7">
        <v>6</v>
      </c>
    </row>
    <row r="1428" spans="1:6" ht="28" x14ac:dyDescent="0.3">
      <c r="A1428" s="6" t="s">
        <v>10</v>
      </c>
      <c r="B1428" s="6" t="s">
        <v>63</v>
      </c>
      <c r="C1428" s="6">
        <v>2017</v>
      </c>
      <c r="D1428" s="6" t="s">
        <v>1</v>
      </c>
      <c r="E1428" s="6" t="s">
        <v>4</v>
      </c>
      <c r="F1428" s="7">
        <v>33</v>
      </c>
    </row>
    <row r="1429" spans="1:6" ht="28" x14ac:dyDescent="0.3">
      <c r="A1429" s="6" t="s">
        <v>10</v>
      </c>
      <c r="B1429" s="6" t="s">
        <v>64</v>
      </c>
      <c r="C1429" s="6">
        <v>2017</v>
      </c>
      <c r="D1429" s="6" t="s">
        <v>1</v>
      </c>
      <c r="E1429" s="6" t="s">
        <v>4</v>
      </c>
      <c r="F1429" s="7">
        <v>9</v>
      </c>
    </row>
    <row r="1430" spans="1:6" ht="28" x14ac:dyDescent="0.3">
      <c r="A1430" s="6" t="s">
        <v>10</v>
      </c>
      <c r="B1430" s="6" t="s">
        <v>65</v>
      </c>
      <c r="C1430" s="6">
        <v>2017</v>
      </c>
      <c r="D1430" s="6" t="s">
        <v>1</v>
      </c>
      <c r="E1430" s="6" t="s">
        <v>4</v>
      </c>
      <c r="F1430" s="7">
        <v>219</v>
      </c>
    </row>
    <row r="1431" spans="1:6" ht="28" x14ac:dyDescent="0.3">
      <c r="A1431" s="6" t="s">
        <v>10</v>
      </c>
      <c r="B1431" s="6" t="s">
        <v>66</v>
      </c>
      <c r="C1431" s="6">
        <v>2017</v>
      </c>
      <c r="D1431" s="6" t="s">
        <v>1</v>
      </c>
      <c r="E1431" s="6" t="s">
        <v>4</v>
      </c>
      <c r="F1431" s="7">
        <v>6</v>
      </c>
    </row>
    <row r="1432" spans="1:6" ht="28" x14ac:dyDescent="0.3">
      <c r="A1432" s="6" t="s">
        <v>11</v>
      </c>
      <c r="B1432" s="6" t="s">
        <v>67</v>
      </c>
      <c r="C1432" s="6">
        <v>2017</v>
      </c>
      <c r="D1432" s="6" t="s">
        <v>1</v>
      </c>
      <c r="E1432" s="6" t="s">
        <v>4</v>
      </c>
      <c r="F1432" s="7">
        <v>11</v>
      </c>
    </row>
    <row r="1433" spans="1:6" ht="28" x14ac:dyDescent="0.3">
      <c r="A1433" s="6" t="s">
        <v>11</v>
      </c>
      <c r="B1433" s="6" t="s">
        <v>76</v>
      </c>
      <c r="C1433" s="6">
        <v>2017</v>
      </c>
      <c r="D1433" s="6" t="s">
        <v>1</v>
      </c>
      <c r="E1433" s="6" t="s">
        <v>4</v>
      </c>
      <c r="F1433" s="7">
        <v>6</v>
      </c>
    </row>
    <row r="1434" spans="1:6" ht="28" x14ac:dyDescent="0.3">
      <c r="A1434" s="6" t="s">
        <v>11</v>
      </c>
      <c r="B1434" s="6" t="s">
        <v>77</v>
      </c>
      <c r="C1434" s="6">
        <v>2017</v>
      </c>
      <c r="D1434" s="6" t="s">
        <v>1</v>
      </c>
      <c r="E1434" s="6" t="s">
        <v>4</v>
      </c>
      <c r="F1434" s="7">
        <v>6</v>
      </c>
    </row>
    <row r="1435" spans="1:6" ht="28" x14ac:dyDescent="0.3">
      <c r="A1435" s="6" t="s">
        <v>11</v>
      </c>
      <c r="B1435" s="6" t="s">
        <v>78</v>
      </c>
      <c r="C1435" s="6">
        <v>2017</v>
      </c>
      <c r="D1435" s="6" t="s">
        <v>1</v>
      </c>
      <c r="E1435" s="6" t="s">
        <v>4</v>
      </c>
      <c r="F1435" s="7">
        <v>6</v>
      </c>
    </row>
    <row r="1436" spans="1:6" ht="28" x14ac:dyDescent="0.3">
      <c r="A1436" s="6" t="s">
        <v>11</v>
      </c>
      <c r="B1436" s="6" t="s">
        <v>79</v>
      </c>
      <c r="C1436" s="6">
        <v>2017</v>
      </c>
      <c r="D1436" s="6" t="s">
        <v>1</v>
      </c>
      <c r="E1436" s="6" t="s">
        <v>4</v>
      </c>
      <c r="F1436" s="7">
        <v>6</v>
      </c>
    </row>
    <row r="1437" spans="1:6" ht="28" x14ac:dyDescent="0.3">
      <c r="A1437" s="6" t="s">
        <v>11</v>
      </c>
      <c r="B1437" s="6" t="s">
        <v>80</v>
      </c>
      <c r="C1437" s="6">
        <v>2017</v>
      </c>
      <c r="D1437" s="6" t="s">
        <v>1</v>
      </c>
      <c r="E1437" s="6" t="s">
        <v>4</v>
      </c>
      <c r="F1437" s="7">
        <v>6</v>
      </c>
    </row>
    <row r="1438" spans="1:6" ht="28" x14ac:dyDescent="0.3">
      <c r="A1438" s="6" t="s">
        <v>11</v>
      </c>
      <c r="B1438" s="6" t="s">
        <v>68</v>
      </c>
      <c r="C1438" s="6">
        <v>2017</v>
      </c>
      <c r="D1438" s="6" t="s">
        <v>1</v>
      </c>
      <c r="E1438" s="6" t="s">
        <v>4</v>
      </c>
      <c r="F1438" s="7">
        <v>6</v>
      </c>
    </row>
    <row r="1439" spans="1:6" ht="28" x14ac:dyDescent="0.3">
      <c r="A1439" s="6" t="s">
        <v>11</v>
      </c>
      <c r="B1439" s="6" t="s">
        <v>69</v>
      </c>
      <c r="C1439" s="6">
        <v>2017</v>
      </c>
      <c r="D1439" s="6" t="s">
        <v>1</v>
      </c>
      <c r="E1439" s="6" t="s">
        <v>4</v>
      </c>
      <c r="F1439" s="7">
        <v>137</v>
      </c>
    </row>
    <row r="1440" spans="1:6" ht="28" x14ac:dyDescent="0.3">
      <c r="A1440" s="6" t="s">
        <v>11</v>
      </c>
      <c r="B1440" s="6" t="s">
        <v>70</v>
      </c>
      <c r="C1440" s="6">
        <v>2017</v>
      </c>
      <c r="D1440" s="6" t="s">
        <v>1</v>
      </c>
      <c r="E1440" s="6" t="s">
        <v>4</v>
      </c>
      <c r="F1440" s="7">
        <v>354</v>
      </c>
    </row>
    <row r="1441" spans="1:6" ht="28" x14ac:dyDescent="0.3">
      <c r="A1441" s="6" t="s">
        <v>11</v>
      </c>
      <c r="B1441" s="6" t="s">
        <v>71</v>
      </c>
      <c r="C1441" s="6">
        <v>2017</v>
      </c>
      <c r="D1441" s="6" t="s">
        <v>1</v>
      </c>
      <c r="E1441" s="6" t="s">
        <v>4</v>
      </c>
      <c r="F1441" s="7">
        <v>5</v>
      </c>
    </row>
    <row r="1442" spans="1:6" ht="28" x14ac:dyDescent="0.3">
      <c r="A1442" s="6" t="s">
        <v>11</v>
      </c>
      <c r="B1442" s="6" t="s">
        <v>72</v>
      </c>
      <c r="C1442" s="6">
        <v>2017</v>
      </c>
      <c r="D1442" s="6" t="s">
        <v>1</v>
      </c>
      <c r="E1442" s="6" t="s">
        <v>4</v>
      </c>
      <c r="F1442" s="7">
        <v>26</v>
      </c>
    </row>
    <row r="1443" spans="1:6" ht="28" x14ac:dyDescent="0.3">
      <c r="A1443" s="6" t="s">
        <v>11</v>
      </c>
      <c r="B1443" s="6" t="s">
        <v>73</v>
      </c>
      <c r="C1443" s="6">
        <v>2017</v>
      </c>
      <c r="D1443" s="6" t="s">
        <v>1</v>
      </c>
      <c r="E1443" s="6" t="s">
        <v>4</v>
      </c>
      <c r="F1443" s="7">
        <v>8</v>
      </c>
    </row>
    <row r="1444" spans="1:6" ht="28" x14ac:dyDescent="0.3">
      <c r="A1444" s="6" t="s">
        <v>11</v>
      </c>
      <c r="B1444" s="6" t="s">
        <v>74</v>
      </c>
      <c r="C1444" s="6">
        <v>2017</v>
      </c>
      <c r="D1444" s="6" t="s">
        <v>1</v>
      </c>
      <c r="E1444" s="6" t="s">
        <v>4</v>
      </c>
      <c r="F1444" s="7">
        <v>6</v>
      </c>
    </row>
    <row r="1445" spans="1:6" ht="28" x14ac:dyDescent="0.3">
      <c r="A1445" s="6" t="s">
        <v>11</v>
      </c>
      <c r="B1445" s="6" t="s">
        <v>75</v>
      </c>
      <c r="C1445" s="6">
        <v>2017</v>
      </c>
      <c r="D1445" s="6" t="s">
        <v>1</v>
      </c>
      <c r="E1445" s="6" t="s">
        <v>4</v>
      </c>
      <c r="F1445" s="7">
        <v>152</v>
      </c>
    </row>
    <row r="1446" spans="1:6" ht="28" x14ac:dyDescent="0.3">
      <c r="A1446" s="6" t="s">
        <v>12</v>
      </c>
      <c r="B1446" s="6" t="s">
        <v>81</v>
      </c>
      <c r="C1446" s="6">
        <v>2017</v>
      </c>
      <c r="D1446" s="6" t="s">
        <v>1</v>
      </c>
      <c r="E1446" s="6" t="s">
        <v>4</v>
      </c>
      <c r="F1446" s="7">
        <v>17</v>
      </c>
    </row>
    <row r="1447" spans="1:6" ht="28" x14ac:dyDescent="0.3">
      <c r="A1447" s="6" t="s">
        <v>12</v>
      </c>
      <c r="B1447" s="6" t="s">
        <v>82</v>
      </c>
      <c r="C1447" s="6">
        <v>2017</v>
      </c>
      <c r="D1447" s="6" t="s">
        <v>1</v>
      </c>
      <c r="E1447" s="6" t="s">
        <v>4</v>
      </c>
      <c r="F1447" s="7">
        <v>26</v>
      </c>
    </row>
    <row r="1448" spans="1:6" ht="28" x14ac:dyDescent="0.3">
      <c r="A1448" s="6" t="s">
        <v>12</v>
      </c>
      <c r="B1448" s="6" t="s">
        <v>83</v>
      </c>
      <c r="C1448" s="6">
        <v>2017</v>
      </c>
      <c r="D1448" s="6" t="s">
        <v>1</v>
      </c>
      <c r="E1448" s="6" t="s">
        <v>4</v>
      </c>
      <c r="F1448" s="7">
        <v>16</v>
      </c>
    </row>
    <row r="1449" spans="1:6" ht="28" x14ac:dyDescent="0.3">
      <c r="A1449" s="6" t="s">
        <v>12</v>
      </c>
      <c r="B1449" s="6" t="s">
        <v>84</v>
      </c>
      <c r="C1449" s="6">
        <v>2017</v>
      </c>
      <c r="D1449" s="6" t="s">
        <v>1</v>
      </c>
      <c r="E1449" s="6" t="s">
        <v>4</v>
      </c>
      <c r="F1449" s="7">
        <v>6</v>
      </c>
    </row>
    <row r="1450" spans="1:6" ht="28" x14ac:dyDescent="0.3">
      <c r="A1450" s="6" t="s">
        <v>12</v>
      </c>
      <c r="B1450" s="6" t="s">
        <v>85</v>
      </c>
      <c r="C1450" s="6">
        <v>2017</v>
      </c>
      <c r="D1450" s="6" t="s">
        <v>1</v>
      </c>
      <c r="E1450" s="6" t="s">
        <v>4</v>
      </c>
      <c r="F1450" s="7">
        <v>141</v>
      </c>
    </row>
    <row r="1451" spans="1:6" ht="28" x14ac:dyDescent="0.3">
      <c r="A1451" s="6" t="s">
        <v>12</v>
      </c>
      <c r="B1451" s="6" t="s">
        <v>86</v>
      </c>
      <c r="C1451" s="6">
        <v>2017</v>
      </c>
      <c r="D1451" s="6" t="s">
        <v>1</v>
      </c>
      <c r="E1451" s="6" t="s">
        <v>4</v>
      </c>
      <c r="F1451" s="7">
        <v>13</v>
      </c>
    </row>
    <row r="1452" spans="1:6" ht="28" x14ac:dyDescent="0.3">
      <c r="A1452" s="6" t="s">
        <v>12</v>
      </c>
      <c r="B1452" s="6" t="s">
        <v>87</v>
      </c>
      <c r="C1452" s="6">
        <v>2017</v>
      </c>
      <c r="D1452" s="6" t="s">
        <v>1</v>
      </c>
      <c r="E1452" s="6" t="s">
        <v>4</v>
      </c>
      <c r="F1452" s="7">
        <v>85</v>
      </c>
    </row>
    <row r="1453" spans="1:6" ht="28" x14ac:dyDescent="0.3">
      <c r="A1453" s="6" t="s">
        <v>12</v>
      </c>
      <c r="B1453" s="6" t="s">
        <v>88</v>
      </c>
      <c r="C1453" s="6">
        <v>2017</v>
      </c>
      <c r="D1453" s="6" t="s">
        <v>1</v>
      </c>
      <c r="E1453" s="6" t="s">
        <v>4</v>
      </c>
      <c r="F1453" s="7">
        <v>16</v>
      </c>
    </row>
    <row r="1454" spans="1:6" ht="28" x14ac:dyDescent="0.3">
      <c r="A1454" s="6" t="s">
        <v>13</v>
      </c>
      <c r="B1454" s="6" t="s">
        <v>89</v>
      </c>
      <c r="C1454" s="6">
        <v>2017</v>
      </c>
      <c r="D1454" s="6" t="s">
        <v>1</v>
      </c>
      <c r="E1454" s="6" t="s">
        <v>4</v>
      </c>
      <c r="F1454" s="7">
        <v>6</v>
      </c>
    </row>
    <row r="1455" spans="1:6" ht="28" x14ac:dyDescent="0.3">
      <c r="A1455" s="6" t="s">
        <v>13</v>
      </c>
      <c r="B1455" s="6" t="s">
        <v>98</v>
      </c>
      <c r="C1455" s="6">
        <v>2017</v>
      </c>
      <c r="D1455" s="6" t="s">
        <v>1</v>
      </c>
      <c r="E1455" s="6" t="s">
        <v>4</v>
      </c>
      <c r="F1455" s="7">
        <v>5</v>
      </c>
    </row>
    <row r="1456" spans="1:6" ht="28" x14ac:dyDescent="0.3">
      <c r="A1456" s="6" t="s">
        <v>13</v>
      </c>
      <c r="B1456" s="6" t="s">
        <v>99</v>
      </c>
      <c r="C1456" s="6">
        <v>2017</v>
      </c>
      <c r="D1456" s="6" t="s">
        <v>1</v>
      </c>
      <c r="E1456" s="6" t="s">
        <v>4</v>
      </c>
      <c r="F1456" s="7">
        <v>6</v>
      </c>
    </row>
    <row r="1457" spans="1:6" ht="28" x14ac:dyDescent="0.3">
      <c r="A1457" s="6" t="s">
        <v>13</v>
      </c>
      <c r="B1457" s="6" t="s">
        <v>90</v>
      </c>
      <c r="C1457" s="6">
        <v>2017</v>
      </c>
      <c r="D1457" s="6" t="s">
        <v>1</v>
      </c>
      <c r="E1457" s="6" t="s">
        <v>4</v>
      </c>
      <c r="F1457" s="7">
        <v>8</v>
      </c>
    </row>
    <row r="1458" spans="1:6" ht="28" x14ac:dyDescent="0.3">
      <c r="A1458" s="6" t="s">
        <v>13</v>
      </c>
      <c r="B1458" s="6" t="s">
        <v>91</v>
      </c>
      <c r="C1458" s="6">
        <v>2017</v>
      </c>
      <c r="D1458" s="6" t="s">
        <v>1</v>
      </c>
      <c r="E1458" s="6" t="s">
        <v>4</v>
      </c>
      <c r="F1458" s="7">
        <v>5</v>
      </c>
    </row>
    <row r="1459" spans="1:6" ht="28" x14ac:dyDescent="0.3">
      <c r="A1459" s="6" t="s">
        <v>13</v>
      </c>
      <c r="B1459" s="6" t="s">
        <v>92</v>
      </c>
      <c r="C1459" s="6">
        <v>2017</v>
      </c>
      <c r="D1459" s="6" t="s">
        <v>1</v>
      </c>
      <c r="E1459" s="6" t="s">
        <v>4</v>
      </c>
      <c r="F1459" s="7">
        <v>6</v>
      </c>
    </row>
    <row r="1460" spans="1:6" ht="28" x14ac:dyDescent="0.3">
      <c r="A1460" s="6" t="s">
        <v>13</v>
      </c>
      <c r="B1460" s="6" t="s">
        <v>93</v>
      </c>
      <c r="C1460" s="6">
        <v>2017</v>
      </c>
      <c r="D1460" s="6" t="s">
        <v>1</v>
      </c>
      <c r="E1460" s="6" t="s">
        <v>4</v>
      </c>
      <c r="F1460" s="7">
        <v>10</v>
      </c>
    </row>
    <row r="1461" spans="1:6" ht="28" x14ac:dyDescent="0.3">
      <c r="A1461" s="6" t="s">
        <v>13</v>
      </c>
      <c r="B1461" s="6" t="s">
        <v>94</v>
      </c>
      <c r="C1461" s="6">
        <v>2017</v>
      </c>
      <c r="D1461" s="6" t="s">
        <v>1</v>
      </c>
      <c r="E1461" s="6" t="s">
        <v>4</v>
      </c>
      <c r="F1461" s="7">
        <v>5</v>
      </c>
    </row>
    <row r="1462" spans="1:6" ht="28" x14ac:dyDescent="0.3">
      <c r="A1462" s="6" t="s">
        <v>13</v>
      </c>
      <c r="B1462" s="6" t="s">
        <v>95</v>
      </c>
      <c r="C1462" s="6">
        <v>2017</v>
      </c>
      <c r="D1462" s="6" t="s">
        <v>1</v>
      </c>
      <c r="E1462" s="6" t="s">
        <v>4</v>
      </c>
      <c r="F1462" s="7">
        <v>5</v>
      </c>
    </row>
    <row r="1463" spans="1:6" ht="28" x14ac:dyDescent="0.3">
      <c r="A1463" s="6" t="s">
        <v>13</v>
      </c>
      <c r="B1463" s="6" t="s">
        <v>96</v>
      </c>
      <c r="C1463" s="6">
        <v>2017</v>
      </c>
      <c r="D1463" s="6" t="s">
        <v>1</v>
      </c>
      <c r="E1463" s="6" t="s">
        <v>4</v>
      </c>
      <c r="F1463" s="7">
        <v>7</v>
      </c>
    </row>
    <row r="1464" spans="1:6" ht="28" x14ac:dyDescent="0.3">
      <c r="A1464" s="6" t="s">
        <v>13</v>
      </c>
      <c r="B1464" s="6" t="s">
        <v>97</v>
      </c>
      <c r="C1464" s="6">
        <v>2017</v>
      </c>
      <c r="D1464" s="6" t="s">
        <v>1</v>
      </c>
      <c r="E1464" s="6" t="s">
        <v>4</v>
      </c>
      <c r="F1464" s="7">
        <v>6</v>
      </c>
    </row>
    <row r="1465" spans="1:6" ht="28" x14ac:dyDescent="0.3">
      <c r="A1465" s="6" t="s">
        <v>14</v>
      </c>
      <c r="B1465" s="6" t="s">
        <v>100</v>
      </c>
      <c r="C1465" s="6">
        <v>2017</v>
      </c>
      <c r="D1465" s="6" t="s">
        <v>1</v>
      </c>
      <c r="E1465" s="6" t="s">
        <v>4</v>
      </c>
      <c r="F1465" s="7">
        <v>55</v>
      </c>
    </row>
    <row r="1466" spans="1:6" ht="28" x14ac:dyDescent="0.3">
      <c r="A1466" s="6" t="s">
        <v>14</v>
      </c>
      <c r="B1466" s="6" t="s">
        <v>101</v>
      </c>
      <c r="C1466" s="6">
        <v>2017</v>
      </c>
      <c r="D1466" s="6" t="s">
        <v>1</v>
      </c>
      <c r="E1466" s="6" t="s">
        <v>4</v>
      </c>
      <c r="F1466" s="7">
        <v>11</v>
      </c>
    </row>
    <row r="1467" spans="1:6" ht="28" x14ac:dyDescent="0.3">
      <c r="A1467" s="6" t="s">
        <v>14</v>
      </c>
      <c r="B1467" s="6" t="s">
        <v>102</v>
      </c>
      <c r="C1467" s="6">
        <v>2017</v>
      </c>
      <c r="D1467" s="6" t="s">
        <v>1</v>
      </c>
      <c r="E1467" s="6" t="s">
        <v>4</v>
      </c>
      <c r="F1467" s="7">
        <v>500</v>
      </c>
    </row>
    <row r="1468" spans="1:6" ht="28" x14ac:dyDescent="0.3">
      <c r="A1468" s="6" t="s">
        <v>14</v>
      </c>
      <c r="B1468" s="6" t="s">
        <v>103</v>
      </c>
      <c r="C1468" s="6">
        <v>2017</v>
      </c>
      <c r="D1468" s="6" t="s">
        <v>1</v>
      </c>
      <c r="E1468" s="6" t="s">
        <v>4</v>
      </c>
      <c r="F1468" s="7">
        <v>526</v>
      </c>
    </row>
    <row r="1469" spans="1:6" ht="28" x14ac:dyDescent="0.3">
      <c r="A1469" s="6" t="s">
        <v>14</v>
      </c>
      <c r="B1469" s="6" t="s">
        <v>104</v>
      </c>
      <c r="C1469" s="6">
        <v>2017</v>
      </c>
      <c r="D1469" s="6" t="s">
        <v>1</v>
      </c>
      <c r="E1469" s="6" t="s">
        <v>4</v>
      </c>
      <c r="F1469" s="7">
        <v>699</v>
      </c>
    </row>
    <row r="1470" spans="1:6" ht="28" x14ac:dyDescent="0.3">
      <c r="A1470" s="6" t="s">
        <v>14</v>
      </c>
      <c r="B1470" s="6" t="s">
        <v>105</v>
      </c>
      <c r="C1470" s="6">
        <v>2017</v>
      </c>
      <c r="D1470" s="6" t="s">
        <v>1</v>
      </c>
      <c r="E1470" s="6" t="s">
        <v>4</v>
      </c>
      <c r="F1470" s="7">
        <v>338</v>
      </c>
    </row>
    <row r="1471" spans="1:6" ht="28" x14ac:dyDescent="0.3">
      <c r="A1471" s="6" t="s">
        <v>15</v>
      </c>
      <c r="B1471" s="6" t="s">
        <v>106</v>
      </c>
      <c r="C1471" s="6">
        <v>2017</v>
      </c>
      <c r="D1471" s="6" t="s">
        <v>1</v>
      </c>
      <c r="E1471" s="6" t="s">
        <v>4</v>
      </c>
      <c r="F1471" s="7">
        <v>6</v>
      </c>
    </row>
    <row r="1472" spans="1:6" ht="28" x14ac:dyDescent="0.3">
      <c r="A1472" s="6" t="s">
        <v>15</v>
      </c>
      <c r="B1472" s="6" t="s">
        <v>107</v>
      </c>
      <c r="C1472" s="6">
        <v>2017</v>
      </c>
      <c r="D1472" s="6" t="s">
        <v>1</v>
      </c>
      <c r="E1472" s="6" t="s">
        <v>4</v>
      </c>
      <c r="F1472" s="7">
        <v>5</v>
      </c>
    </row>
    <row r="1473" spans="1:6" ht="28" x14ac:dyDescent="0.3">
      <c r="A1473" s="6" t="s">
        <v>15</v>
      </c>
      <c r="B1473" s="6" t="s">
        <v>108</v>
      </c>
      <c r="C1473" s="6">
        <v>2017</v>
      </c>
      <c r="D1473" s="6" t="s">
        <v>1</v>
      </c>
      <c r="E1473" s="6" t="s">
        <v>4</v>
      </c>
      <c r="F1473" s="7">
        <v>6</v>
      </c>
    </row>
    <row r="1474" spans="1:6" ht="28" x14ac:dyDescent="0.3">
      <c r="A1474" s="6" t="s">
        <v>6</v>
      </c>
      <c r="B1474" s="6" t="s">
        <v>17</v>
      </c>
      <c r="C1474" s="6">
        <v>2018</v>
      </c>
      <c r="D1474" s="6" t="s">
        <v>0</v>
      </c>
      <c r="E1474" s="6" t="s">
        <v>5</v>
      </c>
      <c r="F1474" s="7">
        <v>247</v>
      </c>
    </row>
    <row r="1475" spans="1:6" ht="28" x14ac:dyDescent="0.3">
      <c r="A1475" s="6" t="s">
        <v>6</v>
      </c>
      <c r="B1475" s="6" t="s">
        <v>18</v>
      </c>
      <c r="C1475" s="6">
        <v>2018</v>
      </c>
      <c r="D1475" s="6" t="s">
        <v>0</v>
      </c>
      <c r="E1475" s="6" t="s">
        <v>5</v>
      </c>
      <c r="F1475" s="7">
        <v>2666</v>
      </c>
    </row>
    <row r="1476" spans="1:6" ht="28" x14ac:dyDescent="0.3">
      <c r="A1476" s="6" t="s">
        <v>6</v>
      </c>
      <c r="B1476" s="6" t="s">
        <v>19</v>
      </c>
      <c r="C1476" s="6">
        <v>2018</v>
      </c>
      <c r="D1476" s="6" t="s">
        <v>0</v>
      </c>
      <c r="E1476" s="6" t="s">
        <v>5</v>
      </c>
      <c r="F1476" s="7">
        <v>13</v>
      </c>
    </row>
    <row r="1477" spans="1:6" ht="28" x14ac:dyDescent="0.3">
      <c r="A1477" s="6" t="s">
        <v>6</v>
      </c>
      <c r="B1477" s="6" t="s">
        <v>20</v>
      </c>
      <c r="C1477" s="6">
        <v>2018</v>
      </c>
      <c r="D1477" s="6" t="s">
        <v>0</v>
      </c>
      <c r="E1477" s="6" t="s">
        <v>5</v>
      </c>
      <c r="F1477" s="7">
        <v>41521</v>
      </c>
    </row>
    <row r="1478" spans="1:6" ht="28" x14ac:dyDescent="0.3">
      <c r="A1478" s="6" t="s">
        <v>7</v>
      </c>
      <c r="B1478" s="6" t="s">
        <v>21</v>
      </c>
      <c r="C1478" s="6">
        <v>2018</v>
      </c>
      <c r="D1478" s="6" t="s">
        <v>0</v>
      </c>
      <c r="E1478" s="6" t="s">
        <v>5</v>
      </c>
      <c r="F1478" s="7">
        <v>6734</v>
      </c>
    </row>
    <row r="1479" spans="1:6" ht="28" x14ac:dyDescent="0.3">
      <c r="A1479" s="6" t="s">
        <v>7</v>
      </c>
      <c r="B1479" s="6" t="s">
        <v>22</v>
      </c>
      <c r="C1479" s="6">
        <v>2018</v>
      </c>
      <c r="D1479" s="6" t="s">
        <v>0</v>
      </c>
      <c r="E1479" s="6" t="s">
        <v>5</v>
      </c>
      <c r="F1479" s="7">
        <v>43</v>
      </c>
    </row>
    <row r="1480" spans="1:6" ht="28" x14ac:dyDescent="0.3">
      <c r="A1480" s="6" t="s">
        <v>7</v>
      </c>
      <c r="B1480" s="6" t="s">
        <v>23</v>
      </c>
      <c r="C1480" s="6">
        <v>2018</v>
      </c>
      <c r="D1480" s="6" t="s">
        <v>0</v>
      </c>
      <c r="E1480" s="6" t="s">
        <v>5</v>
      </c>
      <c r="F1480" s="7">
        <v>91</v>
      </c>
    </row>
    <row r="1481" spans="1:6" ht="28" x14ac:dyDescent="0.3">
      <c r="A1481" s="6" t="s">
        <v>8</v>
      </c>
      <c r="B1481" s="6" t="s">
        <v>24</v>
      </c>
      <c r="C1481" s="6">
        <v>2018</v>
      </c>
      <c r="D1481" s="6" t="s">
        <v>0</v>
      </c>
      <c r="E1481" s="6" t="s">
        <v>5</v>
      </c>
      <c r="F1481" s="7">
        <v>2454</v>
      </c>
    </row>
    <row r="1482" spans="1:6" ht="28" x14ac:dyDescent="0.3">
      <c r="A1482" s="6" t="s">
        <v>8</v>
      </c>
      <c r="B1482" s="6" t="s">
        <v>25</v>
      </c>
      <c r="C1482" s="6">
        <v>2018</v>
      </c>
      <c r="D1482" s="6" t="s">
        <v>0</v>
      </c>
      <c r="E1482" s="6" t="s">
        <v>5</v>
      </c>
      <c r="F1482" s="7">
        <v>1240</v>
      </c>
    </row>
    <row r="1483" spans="1:6" ht="28" x14ac:dyDescent="0.3">
      <c r="A1483" s="6" t="s">
        <v>9</v>
      </c>
      <c r="B1483" s="6" t="s">
        <v>26</v>
      </c>
      <c r="C1483" s="6">
        <v>2018</v>
      </c>
      <c r="D1483" s="6" t="s">
        <v>0</v>
      </c>
      <c r="E1483" s="6" t="s">
        <v>5</v>
      </c>
      <c r="F1483" s="7">
        <v>102</v>
      </c>
    </row>
    <row r="1484" spans="1:6" ht="28" x14ac:dyDescent="0.3">
      <c r="A1484" s="6" t="s">
        <v>9</v>
      </c>
      <c r="B1484" s="6" t="s">
        <v>35</v>
      </c>
      <c r="C1484" s="6">
        <v>2018</v>
      </c>
      <c r="D1484" s="6" t="s">
        <v>0</v>
      </c>
      <c r="E1484" s="6" t="s">
        <v>5</v>
      </c>
      <c r="F1484" s="7">
        <v>65</v>
      </c>
    </row>
    <row r="1485" spans="1:6" ht="28" x14ac:dyDescent="0.3">
      <c r="A1485" s="6" t="s">
        <v>9</v>
      </c>
      <c r="B1485" s="6" t="s">
        <v>36</v>
      </c>
      <c r="C1485" s="6">
        <v>2018</v>
      </c>
      <c r="D1485" s="6" t="s">
        <v>0</v>
      </c>
      <c r="E1485" s="6" t="s">
        <v>5</v>
      </c>
      <c r="F1485" s="7">
        <v>116</v>
      </c>
    </row>
    <row r="1486" spans="1:6" ht="28" x14ac:dyDescent="0.3">
      <c r="A1486" s="6" t="s">
        <v>9</v>
      </c>
      <c r="B1486" s="6" t="s">
        <v>37</v>
      </c>
      <c r="C1486" s="6">
        <v>2018</v>
      </c>
      <c r="D1486" s="6" t="s">
        <v>0</v>
      </c>
      <c r="E1486" s="6" t="s">
        <v>5</v>
      </c>
      <c r="F1486" s="7">
        <v>30</v>
      </c>
    </row>
    <row r="1487" spans="1:6" ht="28" x14ac:dyDescent="0.3">
      <c r="A1487" s="6" t="s">
        <v>9</v>
      </c>
      <c r="B1487" s="6" t="s">
        <v>38</v>
      </c>
      <c r="C1487" s="6">
        <v>2018</v>
      </c>
      <c r="D1487" s="6" t="s">
        <v>0</v>
      </c>
      <c r="E1487" s="6" t="s">
        <v>5</v>
      </c>
      <c r="F1487" s="7">
        <v>2376</v>
      </c>
    </row>
    <row r="1488" spans="1:6" ht="28" x14ac:dyDescent="0.3">
      <c r="A1488" s="6" t="s">
        <v>9</v>
      </c>
      <c r="B1488" s="6" t="s">
        <v>39</v>
      </c>
      <c r="C1488" s="6">
        <v>2018</v>
      </c>
      <c r="D1488" s="6" t="s">
        <v>0</v>
      </c>
      <c r="E1488" s="6" t="s">
        <v>5</v>
      </c>
      <c r="F1488" s="7">
        <v>106</v>
      </c>
    </row>
    <row r="1489" spans="1:6" ht="28" x14ac:dyDescent="0.3">
      <c r="A1489" s="6" t="s">
        <v>9</v>
      </c>
      <c r="B1489" s="6" t="s">
        <v>40</v>
      </c>
      <c r="C1489" s="6">
        <v>2018</v>
      </c>
      <c r="D1489" s="6" t="s">
        <v>0</v>
      </c>
      <c r="E1489" s="6" t="s">
        <v>5</v>
      </c>
      <c r="F1489" s="7">
        <v>120</v>
      </c>
    </row>
    <row r="1490" spans="1:6" ht="28" x14ac:dyDescent="0.3">
      <c r="A1490" s="6" t="s">
        <v>9</v>
      </c>
      <c r="B1490" s="6" t="s">
        <v>41</v>
      </c>
      <c r="C1490" s="6">
        <v>2018</v>
      </c>
      <c r="D1490" s="6" t="s">
        <v>0</v>
      </c>
      <c r="E1490" s="6" t="s">
        <v>5</v>
      </c>
      <c r="F1490" s="7">
        <v>3196</v>
      </c>
    </row>
    <row r="1491" spans="1:6" ht="28" x14ac:dyDescent="0.3">
      <c r="A1491" s="6" t="s">
        <v>9</v>
      </c>
      <c r="B1491" s="6" t="s">
        <v>42</v>
      </c>
      <c r="C1491" s="6">
        <v>2018</v>
      </c>
      <c r="D1491" s="6" t="s">
        <v>0</v>
      </c>
      <c r="E1491" s="6" t="s">
        <v>5</v>
      </c>
      <c r="F1491" s="7">
        <v>6173</v>
      </c>
    </row>
    <row r="1492" spans="1:6" ht="28" x14ac:dyDescent="0.3">
      <c r="A1492" s="6" t="s">
        <v>9</v>
      </c>
      <c r="B1492" s="6" t="s">
        <v>43</v>
      </c>
      <c r="C1492" s="6">
        <v>2018</v>
      </c>
      <c r="D1492" s="6" t="s">
        <v>0</v>
      </c>
      <c r="E1492" s="6" t="s">
        <v>5</v>
      </c>
      <c r="F1492" s="7">
        <v>2899</v>
      </c>
    </row>
    <row r="1493" spans="1:6" ht="28" x14ac:dyDescent="0.3">
      <c r="A1493" s="6" t="s">
        <v>9</v>
      </c>
      <c r="B1493" s="6" t="s">
        <v>44</v>
      </c>
      <c r="C1493" s="6">
        <v>2018</v>
      </c>
      <c r="D1493" s="6" t="s">
        <v>0</v>
      </c>
      <c r="E1493" s="6" t="s">
        <v>5</v>
      </c>
      <c r="F1493" s="7">
        <v>766</v>
      </c>
    </row>
    <row r="1494" spans="1:6" ht="28" x14ac:dyDescent="0.3">
      <c r="A1494" s="6" t="s">
        <v>9</v>
      </c>
      <c r="B1494" s="6" t="s">
        <v>27</v>
      </c>
      <c r="C1494" s="6">
        <v>2018</v>
      </c>
      <c r="D1494" s="6" t="s">
        <v>0</v>
      </c>
      <c r="E1494" s="6" t="s">
        <v>5</v>
      </c>
      <c r="F1494" s="7">
        <v>311</v>
      </c>
    </row>
    <row r="1495" spans="1:6" ht="28" x14ac:dyDescent="0.3">
      <c r="A1495" s="6" t="s">
        <v>9</v>
      </c>
      <c r="B1495" s="6" t="s">
        <v>45</v>
      </c>
      <c r="C1495" s="6">
        <v>2018</v>
      </c>
      <c r="D1495" s="6" t="s">
        <v>0</v>
      </c>
      <c r="E1495" s="6" t="s">
        <v>5</v>
      </c>
      <c r="F1495" s="7">
        <v>18</v>
      </c>
    </row>
    <row r="1496" spans="1:6" ht="28" x14ac:dyDescent="0.3">
      <c r="A1496" s="6" t="s">
        <v>9</v>
      </c>
      <c r="B1496" s="6" t="s">
        <v>46</v>
      </c>
      <c r="C1496" s="6">
        <v>2018</v>
      </c>
      <c r="D1496" s="6" t="s">
        <v>0</v>
      </c>
      <c r="E1496" s="6" t="s">
        <v>5</v>
      </c>
      <c r="F1496" s="7">
        <v>1499</v>
      </c>
    </row>
    <row r="1497" spans="1:6" ht="28" x14ac:dyDescent="0.3">
      <c r="A1497" s="6" t="s">
        <v>9</v>
      </c>
      <c r="B1497" s="6" t="s">
        <v>47</v>
      </c>
      <c r="C1497" s="6">
        <v>2018</v>
      </c>
      <c r="D1497" s="6" t="s">
        <v>0</v>
      </c>
      <c r="E1497" s="6" t="s">
        <v>5</v>
      </c>
      <c r="F1497" s="7">
        <v>632</v>
      </c>
    </row>
    <row r="1498" spans="1:6" ht="28" x14ac:dyDescent="0.3">
      <c r="A1498" s="6" t="s">
        <v>9</v>
      </c>
      <c r="B1498" s="6" t="s">
        <v>48</v>
      </c>
      <c r="C1498" s="6">
        <v>2018</v>
      </c>
      <c r="D1498" s="6" t="s">
        <v>0</v>
      </c>
      <c r="E1498" s="6" t="s">
        <v>5</v>
      </c>
      <c r="F1498" s="7">
        <v>1652</v>
      </c>
    </row>
    <row r="1499" spans="1:6" ht="28" x14ac:dyDescent="0.3">
      <c r="A1499" s="6" t="s">
        <v>9</v>
      </c>
      <c r="B1499" s="6" t="s">
        <v>49</v>
      </c>
      <c r="C1499" s="6">
        <v>2018</v>
      </c>
      <c r="D1499" s="6" t="s">
        <v>0</v>
      </c>
      <c r="E1499" s="6" t="s">
        <v>5</v>
      </c>
      <c r="F1499" s="7">
        <v>2716</v>
      </c>
    </row>
    <row r="1500" spans="1:6" ht="28" x14ac:dyDescent="0.3">
      <c r="A1500" s="6" t="s">
        <v>9</v>
      </c>
      <c r="B1500" s="6" t="s">
        <v>50</v>
      </c>
      <c r="C1500" s="6">
        <v>2018</v>
      </c>
      <c r="D1500" s="6" t="s">
        <v>0</v>
      </c>
      <c r="E1500" s="6" t="s">
        <v>5</v>
      </c>
      <c r="F1500" s="7">
        <v>1572</v>
      </c>
    </row>
    <row r="1501" spans="1:6" ht="28" x14ac:dyDescent="0.3">
      <c r="A1501" s="6" t="s">
        <v>9</v>
      </c>
      <c r="B1501" s="6" t="s">
        <v>51</v>
      </c>
      <c r="C1501" s="6">
        <v>2018</v>
      </c>
      <c r="D1501" s="6" t="s">
        <v>0</v>
      </c>
      <c r="E1501" s="6" t="s">
        <v>5</v>
      </c>
      <c r="F1501" s="7">
        <v>5198</v>
      </c>
    </row>
    <row r="1502" spans="1:6" ht="28" x14ac:dyDescent="0.3">
      <c r="A1502" s="6" t="s">
        <v>9</v>
      </c>
      <c r="B1502" s="6" t="s">
        <v>52</v>
      </c>
      <c r="C1502" s="6">
        <v>2018</v>
      </c>
      <c r="D1502" s="6" t="s">
        <v>0</v>
      </c>
      <c r="E1502" s="6" t="s">
        <v>5</v>
      </c>
      <c r="F1502" s="7">
        <v>6452</v>
      </c>
    </row>
    <row r="1503" spans="1:6" ht="28" x14ac:dyDescent="0.3">
      <c r="A1503" s="6" t="s">
        <v>9</v>
      </c>
      <c r="B1503" s="6" t="s">
        <v>53</v>
      </c>
      <c r="C1503" s="6">
        <v>2018</v>
      </c>
      <c r="D1503" s="6" t="s">
        <v>0</v>
      </c>
      <c r="E1503" s="6" t="s">
        <v>5</v>
      </c>
      <c r="F1503" s="7">
        <v>6903</v>
      </c>
    </row>
    <row r="1504" spans="1:6" ht="28" x14ac:dyDescent="0.3">
      <c r="A1504" s="6" t="s">
        <v>9</v>
      </c>
      <c r="B1504" s="6" t="s">
        <v>54</v>
      </c>
      <c r="C1504" s="6">
        <v>2018</v>
      </c>
      <c r="D1504" s="6" t="s">
        <v>0</v>
      </c>
      <c r="E1504" s="6" t="s">
        <v>5</v>
      </c>
      <c r="F1504" s="7">
        <v>929</v>
      </c>
    </row>
    <row r="1505" spans="1:6" ht="28" x14ac:dyDescent="0.3">
      <c r="A1505" s="6" t="s">
        <v>9</v>
      </c>
      <c r="B1505" s="6" t="s">
        <v>28</v>
      </c>
      <c r="C1505" s="6">
        <v>2018</v>
      </c>
      <c r="D1505" s="6" t="s">
        <v>0</v>
      </c>
      <c r="E1505" s="6" t="s">
        <v>5</v>
      </c>
      <c r="F1505" s="7">
        <v>2012</v>
      </c>
    </row>
    <row r="1506" spans="1:6" ht="28" x14ac:dyDescent="0.3">
      <c r="A1506" s="6" t="s">
        <v>9</v>
      </c>
      <c r="B1506" s="6" t="s">
        <v>55</v>
      </c>
      <c r="C1506" s="6">
        <v>2018</v>
      </c>
      <c r="D1506" s="6" t="s">
        <v>0</v>
      </c>
      <c r="E1506" s="6" t="s">
        <v>5</v>
      </c>
      <c r="F1506" s="7">
        <v>3130</v>
      </c>
    </row>
    <row r="1507" spans="1:6" ht="28" x14ac:dyDescent="0.3">
      <c r="A1507" s="6" t="s">
        <v>9</v>
      </c>
      <c r="B1507" s="6" t="s">
        <v>56</v>
      </c>
      <c r="C1507" s="6">
        <v>2018</v>
      </c>
      <c r="D1507" s="6" t="s">
        <v>0</v>
      </c>
      <c r="E1507" s="6" t="s">
        <v>5</v>
      </c>
      <c r="F1507" s="7">
        <v>5121</v>
      </c>
    </row>
    <row r="1508" spans="1:6" ht="28" x14ac:dyDescent="0.3">
      <c r="A1508" s="6" t="s">
        <v>9</v>
      </c>
      <c r="B1508" s="6" t="s">
        <v>57</v>
      </c>
      <c r="C1508" s="6">
        <v>2018</v>
      </c>
      <c r="D1508" s="6" t="s">
        <v>0</v>
      </c>
      <c r="E1508" s="6" t="s">
        <v>5</v>
      </c>
      <c r="F1508" s="7">
        <v>2836</v>
      </c>
    </row>
    <row r="1509" spans="1:6" ht="28" x14ac:dyDescent="0.3">
      <c r="A1509" s="6" t="s">
        <v>9</v>
      </c>
      <c r="B1509" s="6" t="s">
        <v>58</v>
      </c>
      <c r="C1509" s="6">
        <v>2018</v>
      </c>
      <c r="D1509" s="6" t="s">
        <v>0</v>
      </c>
      <c r="E1509" s="6" t="s">
        <v>5</v>
      </c>
      <c r="F1509" s="7">
        <v>6866</v>
      </c>
    </row>
    <row r="1510" spans="1:6" ht="28" x14ac:dyDescent="0.3">
      <c r="A1510" s="6" t="s">
        <v>9</v>
      </c>
      <c r="B1510" s="6" t="s">
        <v>29</v>
      </c>
      <c r="C1510" s="6">
        <v>2018</v>
      </c>
      <c r="D1510" s="6" t="s">
        <v>0</v>
      </c>
      <c r="E1510" s="6" t="s">
        <v>5</v>
      </c>
      <c r="F1510" s="7">
        <v>27</v>
      </c>
    </row>
    <row r="1511" spans="1:6" ht="28" x14ac:dyDescent="0.3">
      <c r="A1511" s="6" t="s">
        <v>9</v>
      </c>
      <c r="B1511" s="6" t="s">
        <v>30</v>
      </c>
      <c r="C1511" s="6">
        <v>2018</v>
      </c>
      <c r="D1511" s="6" t="s">
        <v>0</v>
      </c>
      <c r="E1511" s="6" t="s">
        <v>5</v>
      </c>
      <c r="F1511" s="7">
        <v>175</v>
      </c>
    </row>
    <row r="1512" spans="1:6" ht="28" x14ac:dyDescent="0.3">
      <c r="A1512" s="6" t="s">
        <v>9</v>
      </c>
      <c r="B1512" s="6" t="s">
        <v>31</v>
      </c>
      <c r="C1512" s="6">
        <v>2018</v>
      </c>
      <c r="D1512" s="6" t="s">
        <v>0</v>
      </c>
      <c r="E1512" s="6" t="s">
        <v>5</v>
      </c>
      <c r="F1512" s="7">
        <v>2852</v>
      </c>
    </row>
    <row r="1513" spans="1:6" ht="28" x14ac:dyDescent="0.3">
      <c r="A1513" s="6" t="s">
        <v>9</v>
      </c>
      <c r="B1513" s="6" t="s">
        <v>32</v>
      </c>
      <c r="C1513" s="6">
        <v>2018</v>
      </c>
      <c r="D1513" s="6" t="s">
        <v>0</v>
      </c>
      <c r="E1513" s="6" t="s">
        <v>5</v>
      </c>
      <c r="F1513" s="7">
        <v>66</v>
      </c>
    </row>
    <row r="1514" spans="1:6" ht="28" x14ac:dyDescent="0.3">
      <c r="A1514" s="6" t="s">
        <v>9</v>
      </c>
      <c r="B1514" s="6" t="s">
        <v>33</v>
      </c>
      <c r="C1514" s="6">
        <v>2018</v>
      </c>
      <c r="D1514" s="6" t="s">
        <v>0</v>
      </c>
      <c r="E1514" s="6" t="s">
        <v>5</v>
      </c>
      <c r="F1514" s="7">
        <v>308</v>
      </c>
    </row>
    <row r="1515" spans="1:6" ht="28" x14ac:dyDescent="0.3">
      <c r="A1515" s="6" t="s">
        <v>9</v>
      </c>
      <c r="B1515" s="6" t="s">
        <v>34</v>
      </c>
      <c r="C1515" s="6">
        <v>2018</v>
      </c>
      <c r="D1515" s="6" t="s">
        <v>0</v>
      </c>
      <c r="E1515" s="6" t="s">
        <v>5</v>
      </c>
      <c r="F1515" s="7">
        <v>436</v>
      </c>
    </row>
    <row r="1516" spans="1:6" ht="28" x14ac:dyDescent="0.3">
      <c r="A1516" s="6" t="s">
        <v>10</v>
      </c>
      <c r="B1516" s="6" t="s">
        <v>59</v>
      </c>
      <c r="C1516" s="6">
        <v>2018</v>
      </c>
      <c r="D1516" s="6" t="s">
        <v>0</v>
      </c>
      <c r="E1516" s="6" t="s">
        <v>5</v>
      </c>
      <c r="F1516" s="7">
        <v>1977</v>
      </c>
    </row>
    <row r="1517" spans="1:6" ht="28" x14ac:dyDescent="0.3">
      <c r="A1517" s="6" t="s">
        <v>10</v>
      </c>
      <c r="B1517" s="6" t="s">
        <v>60</v>
      </c>
      <c r="C1517" s="6">
        <v>2018</v>
      </c>
      <c r="D1517" s="6" t="s">
        <v>0</v>
      </c>
      <c r="E1517" s="6" t="s">
        <v>5</v>
      </c>
      <c r="F1517" s="7">
        <v>126</v>
      </c>
    </row>
    <row r="1518" spans="1:6" ht="28" x14ac:dyDescent="0.3">
      <c r="A1518" s="6" t="s">
        <v>10</v>
      </c>
      <c r="B1518" s="6" t="s">
        <v>61</v>
      </c>
      <c r="C1518" s="6">
        <v>2018</v>
      </c>
      <c r="D1518" s="6" t="s">
        <v>0</v>
      </c>
      <c r="E1518" s="6" t="s">
        <v>5</v>
      </c>
      <c r="F1518" s="7">
        <v>95</v>
      </c>
    </row>
    <row r="1519" spans="1:6" ht="28" x14ac:dyDescent="0.3">
      <c r="A1519" s="6" t="s">
        <v>10</v>
      </c>
      <c r="B1519" s="6" t="s">
        <v>62</v>
      </c>
      <c r="C1519" s="6">
        <v>2018</v>
      </c>
      <c r="D1519" s="6" t="s">
        <v>0</v>
      </c>
      <c r="E1519" s="6" t="s">
        <v>5</v>
      </c>
      <c r="F1519" s="7">
        <v>28</v>
      </c>
    </row>
    <row r="1520" spans="1:6" ht="28" x14ac:dyDescent="0.3">
      <c r="A1520" s="6" t="s">
        <v>10</v>
      </c>
      <c r="B1520" s="6" t="s">
        <v>63</v>
      </c>
      <c r="C1520" s="6">
        <v>2018</v>
      </c>
      <c r="D1520" s="6" t="s">
        <v>0</v>
      </c>
      <c r="E1520" s="6" t="s">
        <v>5</v>
      </c>
      <c r="F1520" s="7">
        <v>333</v>
      </c>
    </row>
    <row r="1521" spans="1:6" ht="28" x14ac:dyDescent="0.3">
      <c r="A1521" s="6" t="s">
        <v>10</v>
      </c>
      <c r="B1521" s="6" t="s">
        <v>64</v>
      </c>
      <c r="C1521" s="6">
        <v>2018</v>
      </c>
      <c r="D1521" s="6" t="s">
        <v>0</v>
      </c>
      <c r="E1521" s="6" t="s">
        <v>5</v>
      </c>
      <c r="F1521" s="7">
        <v>33</v>
      </c>
    </row>
    <row r="1522" spans="1:6" ht="28" x14ac:dyDescent="0.3">
      <c r="A1522" s="6" t="s">
        <v>10</v>
      </c>
      <c r="B1522" s="6" t="s">
        <v>65</v>
      </c>
      <c r="C1522" s="6">
        <v>2018</v>
      </c>
      <c r="D1522" s="6" t="s">
        <v>0</v>
      </c>
      <c r="E1522" s="6" t="s">
        <v>5</v>
      </c>
      <c r="F1522" s="7">
        <v>2941</v>
      </c>
    </row>
    <row r="1523" spans="1:6" ht="28" x14ac:dyDescent="0.3">
      <c r="A1523" s="6" t="s">
        <v>10</v>
      </c>
      <c r="B1523" s="6" t="s">
        <v>66</v>
      </c>
      <c r="C1523" s="6">
        <v>2018</v>
      </c>
      <c r="D1523" s="6" t="s">
        <v>0</v>
      </c>
      <c r="E1523" s="6" t="s">
        <v>5</v>
      </c>
      <c r="F1523" s="7">
        <v>206</v>
      </c>
    </row>
    <row r="1524" spans="1:6" ht="28" x14ac:dyDescent="0.3">
      <c r="A1524" s="6" t="s">
        <v>11</v>
      </c>
      <c r="B1524" s="6" t="s">
        <v>67</v>
      </c>
      <c r="C1524" s="6">
        <v>2018</v>
      </c>
      <c r="D1524" s="6" t="s">
        <v>0</v>
      </c>
      <c r="E1524" s="6" t="s">
        <v>5</v>
      </c>
      <c r="F1524" s="7">
        <v>92</v>
      </c>
    </row>
    <row r="1525" spans="1:6" ht="28" x14ac:dyDescent="0.3">
      <c r="A1525" s="6" t="s">
        <v>11</v>
      </c>
      <c r="B1525" s="6" t="s">
        <v>76</v>
      </c>
      <c r="C1525" s="6">
        <v>2018</v>
      </c>
      <c r="D1525" s="6" t="s">
        <v>0</v>
      </c>
      <c r="E1525" s="6" t="s">
        <v>5</v>
      </c>
      <c r="F1525" s="7">
        <v>479</v>
      </c>
    </row>
    <row r="1526" spans="1:6" ht="28" x14ac:dyDescent="0.3">
      <c r="A1526" s="6" t="s">
        <v>11</v>
      </c>
      <c r="B1526" s="6" t="s">
        <v>77</v>
      </c>
      <c r="C1526" s="6">
        <v>2018</v>
      </c>
      <c r="D1526" s="6" t="s">
        <v>0</v>
      </c>
      <c r="E1526" s="6" t="s">
        <v>5</v>
      </c>
      <c r="F1526" s="7">
        <v>291</v>
      </c>
    </row>
    <row r="1527" spans="1:6" ht="28" x14ac:dyDescent="0.3">
      <c r="A1527" s="6" t="s">
        <v>11</v>
      </c>
      <c r="B1527" s="6" t="s">
        <v>78</v>
      </c>
      <c r="C1527" s="6">
        <v>2018</v>
      </c>
      <c r="D1527" s="6" t="s">
        <v>0</v>
      </c>
      <c r="E1527" s="6" t="s">
        <v>5</v>
      </c>
      <c r="F1527" s="7">
        <v>175</v>
      </c>
    </row>
    <row r="1528" spans="1:6" ht="28" x14ac:dyDescent="0.3">
      <c r="A1528" s="6" t="s">
        <v>11</v>
      </c>
      <c r="B1528" s="6" t="s">
        <v>79</v>
      </c>
      <c r="C1528" s="6">
        <v>2018</v>
      </c>
      <c r="D1528" s="6" t="s">
        <v>0</v>
      </c>
      <c r="E1528" s="6" t="s">
        <v>5</v>
      </c>
      <c r="F1528" s="7">
        <v>15</v>
      </c>
    </row>
    <row r="1529" spans="1:6" ht="28" x14ac:dyDescent="0.3">
      <c r="A1529" s="6" t="s">
        <v>11</v>
      </c>
      <c r="B1529" s="6" t="s">
        <v>80</v>
      </c>
      <c r="C1529" s="6">
        <v>2018</v>
      </c>
      <c r="D1529" s="6" t="s">
        <v>0</v>
      </c>
      <c r="E1529" s="6" t="s">
        <v>5</v>
      </c>
      <c r="F1529" s="7">
        <v>118</v>
      </c>
    </row>
    <row r="1530" spans="1:6" ht="28" x14ac:dyDescent="0.3">
      <c r="A1530" s="6" t="s">
        <v>11</v>
      </c>
      <c r="B1530" s="6" t="s">
        <v>68</v>
      </c>
      <c r="C1530" s="6">
        <v>2018</v>
      </c>
      <c r="D1530" s="6" t="s">
        <v>0</v>
      </c>
      <c r="E1530" s="6" t="s">
        <v>5</v>
      </c>
      <c r="F1530" s="7">
        <v>236</v>
      </c>
    </row>
    <row r="1531" spans="1:6" ht="28" x14ac:dyDescent="0.3">
      <c r="A1531" s="6" t="s">
        <v>11</v>
      </c>
      <c r="B1531" s="6" t="s">
        <v>69</v>
      </c>
      <c r="C1531" s="6">
        <v>2018</v>
      </c>
      <c r="D1531" s="6" t="s">
        <v>0</v>
      </c>
      <c r="E1531" s="6" t="s">
        <v>5</v>
      </c>
      <c r="F1531" s="7">
        <v>6446</v>
      </c>
    </row>
    <row r="1532" spans="1:6" ht="28" x14ac:dyDescent="0.3">
      <c r="A1532" s="6" t="s">
        <v>11</v>
      </c>
      <c r="B1532" s="6" t="s">
        <v>70</v>
      </c>
      <c r="C1532" s="6">
        <v>2018</v>
      </c>
      <c r="D1532" s="6" t="s">
        <v>0</v>
      </c>
      <c r="E1532" s="6" t="s">
        <v>5</v>
      </c>
      <c r="F1532" s="7">
        <v>528</v>
      </c>
    </row>
    <row r="1533" spans="1:6" ht="28" x14ac:dyDescent="0.3">
      <c r="A1533" s="6" t="s">
        <v>11</v>
      </c>
      <c r="B1533" s="6" t="s">
        <v>71</v>
      </c>
      <c r="C1533" s="6">
        <v>2018</v>
      </c>
      <c r="D1533" s="6" t="s">
        <v>0</v>
      </c>
      <c r="E1533" s="6" t="s">
        <v>5</v>
      </c>
      <c r="F1533" s="7">
        <v>10</v>
      </c>
    </row>
    <row r="1534" spans="1:6" ht="28" x14ac:dyDescent="0.3">
      <c r="A1534" s="6" t="s">
        <v>11</v>
      </c>
      <c r="B1534" s="6" t="s">
        <v>72</v>
      </c>
      <c r="C1534" s="6">
        <v>2018</v>
      </c>
      <c r="D1534" s="6" t="s">
        <v>0</v>
      </c>
      <c r="E1534" s="6" t="s">
        <v>5</v>
      </c>
      <c r="F1534" s="7">
        <v>748</v>
      </c>
    </row>
    <row r="1535" spans="1:6" ht="28" x14ac:dyDescent="0.3">
      <c r="A1535" s="6" t="s">
        <v>11</v>
      </c>
      <c r="B1535" s="6" t="s">
        <v>73</v>
      </c>
      <c r="C1535" s="6">
        <v>2018</v>
      </c>
      <c r="D1535" s="6" t="s">
        <v>0</v>
      </c>
      <c r="E1535" s="6" t="s">
        <v>5</v>
      </c>
      <c r="F1535" s="7">
        <v>172</v>
      </c>
    </row>
    <row r="1536" spans="1:6" ht="28" x14ac:dyDescent="0.3">
      <c r="A1536" s="6" t="s">
        <v>11</v>
      </c>
      <c r="B1536" s="6" t="s">
        <v>74</v>
      </c>
      <c r="C1536" s="6">
        <v>2018</v>
      </c>
      <c r="D1536" s="6" t="s">
        <v>0</v>
      </c>
      <c r="E1536" s="6" t="s">
        <v>5</v>
      </c>
      <c r="F1536" s="7">
        <v>61</v>
      </c>
    </row>
    <row r="1537" spans="1:6" ht="28" x14ac:dyDescent="0.3">
      <c r="A1537" s="6" t="s">
        <v>11</v>
      </c>
      <c r="B1537" s="6" t="s">
        <v>75</v>
      </c>
      <c r="C1537" s="6">
        <v>2018</v>
      </c>
      <c r="D1537" s="6" t="s">
        <v>0</v>
      </c>
      <c r="E1537" s="6" t="s">
        <v>5</v>
      </c>
      <c r="F1537" s="7">
        <v>6030</v>
      </c>
    </row>
    <row r="1538" spans="1:6" ht="28" x14ac:dyDescent="0.3">
      <c r="A1538" s="6" t="s">
        <v>12</v>
      </c>
      <c r="B1538" s="6" t="s">
        <v>81</v>
      </c>
      <c r="C1538" s="6">
        <v>2018</v>
      </c>
      <c r="D1538" s="6" t="s">
        <v>0</v>
      </c>
      <c r="E1538" s="6" t="s">
        <v>5</v>
      </c>
      <c r="F1538" s="7">
        <v>106</v>
      </c>
    </row>
    <row r="1539" spans="1:6" ht="28" x14ac:dyDescent="0.3">
      <c r="A1539" s="6" t="s">
        <v>12</v>
      </c>
      <c r="B1539" s="6" t="s">
        <v>82</v>
      </c>
      <c r="C1539" s="6">
        <v>2018</v>
      </c>
      <c r="D1539" s="6" t="s">
        <v>0</v>
      </c>
      <c r="E1539" s="6" t="s">
        <v>5</v>
      </c>
      <c r="F1539" s="7">
        <v>955</v>
      </c>
    </row>
    <row r="1540" spans="1:6" ht="28" x14ac:dyDescent="0.3">
      <c r="A1540" s="6" t="s">
        <v>12</v>
      </c>
      <c r="B1540" s="6" t="s">
        <v>83</v>
      </c>
      <c r="C1540" s="6">
        <v>2018</v>
      </c>
      <c r="D1540" s="6" t="s">
        <v>0</v>
      </c>
      <c r="E1540" s="6" t="s">
        <v>5</v>
      </c>
      <c r="F1540" s="7">
        <v>288</v>
      </c>
    </row>
    <row r="1541" spans="1:6" ht="28" x14ac:dyDescent="0.3">
      <c r="A1541" s="6" t="s">
        <v>12</v>
      </c>
      <c r="B1541" s="6" t="s">
        <v>84</v>
      </c>
      <c r="C1541" s="6">
        <v>2018</v>
      </c>
      <c r="D1541" s="6" t="s">
        <v>0</v>
      </c>
      <c r="E1541" s="6" t="s">
        <v>5</v>
      </c>
      <c r="F1541" s="7">
        <v>73</v>
      </c>
    </row>
    <row r="1542" spans="1:6" ht="28" x14ac:dyDescent="0.3">
      <c r="A1542" s="6" t="s">
        <v>12</v>
      </c>
      <c r="B1542" s="6" t="s">
        <v>85</v>
      </c>
      <c r="C1542" s="6">
        <v>2018</v>
      </c>
      <c r="D1542" s="6" t="s">
        <v>0</v>
      </c>
      <c r="E1542" s="6" t="s">
        <v>5</v>
      </c>
      <c r="F1542" s="7">
        <v>1324</v>
      </c>
    </row>
    <row r="1543" spans="1:6" ht="28" x14ac:dyDescent="0.3">
      <c r="A1543" s="6" t="s">
        <v>12</v>
      </c>
      <c r="B1543" s="6" t="s">
        <v>86</v>
      </c>
      <c r="C1543" s="6">
        <v>2018</v>
      </c>
      <c r="D1543" s="6" t="s">
        <v>0</v>
      </c>
      <c r="E1543" s="6" t="s">
        <v>5</v>
      </c>
      <c r="F1543" s="7">
        <v>54</v>
      </c>
    </row>
    <row r="1544" spans="1:6" ht="28" x14ac:dyDescent="0.3">
      <c r="A1544" s="6" t="s">
        <v>12</v>
      </c>
      <c r="B1544" s="6" t="s">
        <v>87</v>
      </c>
      <c r="C1544" s="6">
        <v>2018</v>
      </c>
      <c r="D1544" s="6" t="s">
        <v>0</v>
      </c>
      <c r="E1544" s="6" t="s">
        <v>5</v>
      </c>
      <c r="F1544" s="7">
        <v>222</v>
      </c>
    </row>
    <row r="1545" spans="1:6" ht="28" x14ac:dyDescent="0.3">
      <c r="A1545" s="6" t="s">
        <v>12</v>
      </c>
      <c r="B1545" s="6" t="s">
        <v>88</v>
      </c>
      <c r="C1545" s="6">
        <v>2018</v>
      </c>
      <c r="D1545" s="6" t="s">
        <v>0</v>
      </c>
      <c r="E1545" s="6" t="s">
        <v>5</v>
      </c>
      <c r="F1545" s="7">
        <v>792</v>
      </c>
    </row>
    <row r="1546" spans="1:6" ht="28" x14ac:dyDescent="0.3">
      <c r="A1546" s="6" t="s">
        <v>13</v>
      </c>
      <c r="B1546" s="6" t="s">
        <v>89</v>
      </c>
      <c r="C1546" s="6">
        <v>2018</v>
      </c>
      <c r="D1546" s="6" t="s">
        <v>0</v>
      </c>
      <c r="E1546" s="6" t="s">
        <v>5</v>
      </c>
      <c r="F1546" s="7">
        <v>30</v>
      </c>
    </row>
    <row r="1547" spans="1:6" ht="28" x14ac:dyDescent="0.3">
      <c r="A1547" s="6" t="s">
        <v>13</v>
      </c>
      <c r="B1547" s="6" t="s">
        <v>98</v>
      </c>
      <c r="C1547" s="6">
        <v>2018</v>
      </c>
      <c r="D1547" s="6" t="s">
        <v>0</v>
      </c>
      <c r="E1547" s="6" t="s">
        <v>5</v>
      </c>
      <c r="F1547" s="7">
        <v>30</v>
      </c>
    </row>
    <row r="1548" spans="1:6" ht="28" x14ac:dyDescent="0.3">
      <c r="A1548" s="6" t="s">
        <v>13</v>
      </c>
      <c r="B1548" s="6" t="s">
        <v>99</v>
      </c>
      <c r="C1548" s="6">
        <v>2018</v>
      </c>
      <c r="D1548" s="6" t="s">
        <v>0</v>
      </c>
      <c r="E1548" s="6" t="s">
        <v>5</v>
      </c>
      <c r="F1548" s="7">
        <v>85</v>
      </c>
    </row>
    <row r="1549" spans="1:6" ht="28" x14ac:dyDescent="0.3">
      <c r="A1549" s="6" t="s">
        <v>13</v>
      </c>
      <c r="B1549" s="6" t="s">
        <v>90</v>
      </c>
      <c r="C1549" s="6">
        <v>2018</v>
      </c>
      <c r="D1549" s="6" t="s">
        <v>0</v>
      </c>
      <c r="E1549" s="6" t="s">
        <v>5</v>
      </c>
      <c r="F1549" s="7">
        <v>407</v>
      </c>
    </row>
    <row r="1550" spans="1:6" ht="28" x14ac:dyDescent="0.3">
      <c r="A1550" s="6" t="s">
        <v>13</v>
      </c>
      <c r="B1550" s="6" t="s">
        <v>91</v>
      </c>
      <c r="C1550" s="6">
        <v>2018</v>
      </c>
      <c r="D1550" s="6" t="s">
        <v>0</v>
      </c>
      <c r="E1550" s="6" t="s">
        <v>5</v>
      </c>
      <c r="F1550" s="7">
        <v>116</v>
      </c>
    </row>
    <row r="1551" spans="1:6" ht="21.75" customHeight="1" x14ac:dyDescent="0.3">
      <c r="A1551" s="6" t="s">
        <v>13</v>
      </c>
      <c r="B1551" s="6" t="s">
        <v>92</v>
      </c>
      <c r="C1551" s="6">
        <v>2018</v>
      </c>
      <c r="D1551" s="6" t="s">
        <v>0</v>
      </c>
      <c r="E1551" s="6" t="s">
        <v>5</v>
      </c>
      <c r="F1551" s="7">
        <v>55</v>
      </c>
    </row>
    <row r="1552" spans="1:6" ht="28" x14ac:dyDescent="0.3">
      <c r="A1552" s="6" t="s">
        <v>13</v>
      </c>
      <c r="B1552" s="6" t="s">
        <v>93</v>
      </c>
      <c r="C1552" s="6">
        <v>2018</v>
      </c>
      <c r="D1552" s="6" t="s">
        <v>0</v>
      </c>
      <c r="E1552" s="6" t="s">
        <v>5</v>
      </c>
      <c r="F1552" s="7">
        <v>42</v>
      </c>
    </row>
    <row r="1553" spans="1:6" ht="28" x14ac:dyDescent="0.3">
      <c r="A1553" s="6" t="s">
        <v>13</v>
      </c>
      <c r="B1553" s="6" t="s">
        <v>94</v>
      </c>
      <c r="C1553" s="6">
        <v>2018</v>
      </c>
      <c r="D1553" s="6" t="s">
        <v>0</v>
      </c>
      <c r="E1553" s="6" t="s">
        <v>5</v>
      </c>
      <c r="F1553" s="7">
        <v>10</v>
      </c>
    </row>
    <row r="1554" spans="1:6" ht="28" x14ac:dyDescent="0.3">
      <c r="A1554" s="6" t="s">
        <v>13</v>
      </c>
      <c r="B1554" s="6" t="s">
        <v>95</v>
      </c>
      <c r="C1554" s="6">
        <v>2018</v>
      </c>
      <c r="D1554" s="6" t="s">
        <v>0</v>
      </c>
      <c r="E1554" s="6" t="s">
        <v>5</v>
      </c>
      <c r="F1554" s="7">
        <v>83</v>
      </c>
    </row>
    <row r="1555" spans="1:6" ht="28" x14ac:dyDescent="0.3">
      <c r="A1555" s="6" t="s">
        <v>13</v>
      </c>
      <c r="B1555" s="6" t="s">
        <v>96</v>
      </c>
      <c r="C1555" s="6">
        <v>2018</v>
      </c>
      <c r="D1555" s="6" t="s">
        <v>0</v>
      </c>
      <c r="E1555" s="6" t="s">
        <v>5</v>
      </c>
      <c r="F1555" s="7">
        <v>391</v>
      </c>
    </row>
    <row r="1556" spans="1:6" ht="28" x14ac:dyDescent="0.3">
      <c r="A1556" s="6" t="s">
        <v>13</v>
      </c>
      <c r="B1556" s="6" t="s">
        <v>97</v>
      </c>
      <c r="C1556" s="6">
        <v>2018</v>
      </c>
      <c r="D1556" s="6" t="s">
        <v>0</v>
      </c>
      <c r="E1556" s="6" t="s">
        <v>5</v>
      </c>
      <c r="F1556" s="7">
        <v>137</v>
      </c>
    </row>
    <row r="1557" spans="1:6" ht="28" x14ac:dyDescent="0.3">
      <c r="A1557" s="6" t="s">
        <v>14</v>
      </c>
      <c r="B1557" s="6" t="s">
        <v>100</v>
      </c>
      <c r="C1557" s="6">
        <v>2018</v>
      </c>
      <c r="D1557" s="6" t="s">
        <v>0</v>
      </c>
      <c r="E1557" s="6" t="s">
        <v>5</v>
      </c>
      <c r="F1557" s="7">
        <v>472</v>
      </c>
    </row>
    <row r="1558" spans="1:6" ht="28" x14ac:dyDescent="0.3">
      <c r="A1558" s="6" t="s">
        <v>14</v>
      </c>
      <c r="B1558" s="6" t="s">
        <v>101</v>
      </c>
      <c r="C1558" s="6">
        <v>2018</v>
      </c>
      <c r="D1558" s="6" t="s">
        <v>0</v>
      </c>
      <c r="E1558" s="6" t="s">
        <v>5</v>
      </c>
      <c r="F1558" s="7">
        <v>57</v>
      </c>
    </row>
    <row r="1559" spans="1:6" ht="28" x14ac:dyDescent="0.3">
      <c r="A1559" s="6" t="s">
        <v>14</v>
      </c>
      <c r="B1559" s="6" t="s">
        <v>102</v>
      </c>
      <c r="C1559" s="6">
        <v>2018</v>
      </c>
      <c r="D1559" s="6" t="s">
        <v>0</v>
      </c>
      <c r="E1559" s="6" t="s">
        <v>5</v>
      </c>
      <c r="F1559" s="7">
        <v>1341</v>
      </c>
    </row>
    <row r="1560" spans="1:6" ht="28" x14ac:dyDescent="0.3">
      <c r="A1560" s="6" t="s">
        <v>14</v>
      </c>
      <c r="B1560" s="6" t="s">
        <v>103</v>
      </c>
      <c r="C1560" s="6">
        <v>2018</v>
      </c>
      <c r="D1560" s="6" t="s">
        <v>0</v>
      </c>
      <c r="E1560" s="6" t="s">
        <v>5</v>
      </c>
      <c r="F1560" s="7">
        <v>262</v>
      </c>
    </row>
    <row r="1561" spans="1:6" ht="28" x14ac:dyDescent="0.3">
      <c r="A1561" s="6" t="s">
        <v>14</v>
      </c>
      <c r="B1561" s="6" t="s">
        <v>104</v>
      </c>
      <c r="C1561" s="6">
        <v>2018</v>
      </c>
      <c r="D1561" s="6" t="s">
        <v>0</v>
      </c>
      <c r="E1561" s="6" t="s">
        <v>5</v>
      </c>
      <c r="F1561" s="7">
        <v>1922</v>
      </c>
    </row>
    <row r="1562" spans="1:6" ht="28" x14ac:dyDescent="0.3">
      <c r="A1562" s="6" t="s">
        <v>14</v>
      </c>
      <c r="B1562" s="6" t="s">
        <v>105</v>
      </c>
      <c r="C1562" s="6">
        <v>2018</v>
      </c>
      <c r="D1562" s="6" t="s">
        <v>0</v>
      </c>
      <c r="E1562" s="6" t="s">
        <v>5</v>
      </c>
      <c r="F1562" s="7">
        <v>1983</v>
      </c>
    </row>
    <row r="1563" spans="1:6" ht="28" x14ac:dyDescent="0.3">
      <c r="A1563" s="6" t="s">
        <v>15</v>
      </c>
      <c r="B1563" s="6" t="s">
        <v>106</v>
      </c>
      <c r="C1563" s="6">
        <v>2018</v>
      </c>
      <c r="D1563" s="6" t="s">
        <v>0</v>
      </c>
      <c r="E1563" s="6" t="s">
        <v>5</v>
      </c>
      <c r="F1563" s="7">
        <v>492</v>
      </c>
    </row>
    <row r="1564" spans="1:6" ht="28" x14ac:dyDescent="0.3">
      <c r="A1564" s="6" t="s">
        <v>15</v>
      </c>
      <c r="B1564" s="6" t="s">
        <v>107</v>
      </c>
      <c r="C1564" s="6">
        <v>2018</v>
      </c>
      <c r="D1564" s="6" t="s">
        <v>0</v>
      </c>
      <c r="E1564" s="6" t="s">
        <v>5</v>
      </c>
      <c r="F1564" s="7">
        <v>21</v>
      </c>
    </row>
    <row r="1565" spans="1:6" ht="28" x14ac:dyDescent="0.3">
      <c r="A1565" s="6" t="s">
        <v>15</v>
      </c>
      <c r="B1565" s="6" t="s">
        <v>108</v>
      </c>
      <c r="C1565" s="6">
        <v>2018</v>
      </c>
      <c r="D1565" s="6" t="s">
        <v>0</v>
      </c>
      <c r="E1565" s="6" t="s">
        <v>5</v>
      </c>
      <c r="F1565" s="7">
        <v>274</v>
      </c>
    </row>
    <row r="1566" spans="1:6" ht="28" x14ac:dyDescent="0.3">
      <c r="A1566" s="6" t="s">
        <v>6</v>
      </c>
      <c r="B1566" s="6" t="s">
        <v>17</v>
      </c>
      <c r="C1566" s="6">
        <v>2018</v>
      </c>
      <c r="D1566" s="6" t="s">
        <v>0</v>
      </c>
      <c r="E1566" s="6" t="s">
        <v>4</v>
      </c>
      <c r="F1566" s="7">
        <v>123</v>
      </c>
    </row>
    <row r="1567" spans="1:6" ht="28" x14ac:dyDescent="0.3">
      <c r="A1567" s="6" t="s">
        <v>6</v>
      </c>
      <c r="B1567" s="6" t="s">
        <v>18</v>
      </c>
      <c r="C1567" s="6">
        <v>2018</v>
      </c>
      <c r="D1567" s="6" t="s">
        <v>0</v>
      </c>
      <c r="E1567" s="6" t="s">
        <v>4</v>
      </c>
      <c r="F1567" s="7">
        <v>2294</v>
      </c>
    </row>
    <row r="1568" spans="1:6" ht="28" x14ac:dyDescent="0.3">
      <c r="A1568" s="6" t="s">
        <v>6</v>
      </c>
      <c r="B1568" s="6" t="s">
        <v>19</v>
      </c>
      <c r="C1568" s="6">
        <v>2018</v>
      </c>
      <c r="D1568" s="6" t="s">
        <v>0</v>
      </c>
      <c r="E1568" s="6" t="s">
        <v>4</v>
      </c>
      <c r="F1568" s="7">
        <v>6</v>
      </c>
    </row>
    <row r="1569" spans="1:6" ht="28" x14ac:dyDescent="0.3">
      <c r="A1569" s="6" t="s">
        <v>6</v>
      </c>
      <c r="B1569" s="6" t="s">
        <v>20</v>
      </c>
      <c r="C1569" s="6">
        <v>2018</v>
      </c>
      <c r="D1569" s="6" t="s">
        <v>0</v>
      </c>
      <c r="E1569" s="6" t="s">
        <v>4</v>
      </c>
      <c r="F1569" s="7">
        <v>13645</v>
      </c>
    </row>
    <row r="1570" spans="1:6" ht="28" x14ac:dyDescent="0.3">
      <c r="A1570" s="6" t="s">
        <v>7</v>
      </c>
      <c r="B1570" s="6" t="s">
        <v>21</v>
      </c>
      <c r="C1570" s="6">
        <v>2018</v>
      </c>
      <c r="D1570" s="6" t="s">
        <v>0</v>
      </c>
      <c r="E1570" s="6" t="s">
        <v>4</v>
      </c>
      <c r="F1570" s="7">
        <v>2240</v>
      </c>
    </row>
    <row r="1571" spans="1:6" ht="28" x14ac:dyDescent="0.3">
      <c r="A1571" s="6" t="s">
        <v>7</v>
      </c>
      <c r="B1571" s="6" t="s">
        <v>22</v>
      </c>
      <c r="C1571" s="6">
        <v>2018</v>
      </c>
      <c r="D1571" s="6" t="s">
        <v>0</v>
      </c>
      <c r="E1571" s="6" t="s">
        <v>4</v>
      </c>
      <c r="F1571" s="7">
        <v>20</v>
      </c>
    </row>
    <row r="1572" spans="1:6" ht="28" x14ac:dyDescent="0.3">
      <c r="A1572" s="6" t="s">
        <v>7</v>
      </c>
      <c r="B1572" s="6" t="s">
        <v>23</v>
      </c>
      <c r="C1572" s="6">
        <v>2018</v>
      </c>
      <c r="D1572" s="6" t="s">
        <v>0</v>
      </c>
      <c r="E1572" s="6" t="s">
        <v>4</v>
      </c>
      <c r="F1572" s="7">
        <v>36</v>
      </c>
    </row>
    <row r="1573" spans="1:6" ht="28" x14ac:dyDescent="0.3">
      <c r="A1573" s="6" t="s">
        <v>8</v>
      </c>
      <c r="B1573" s="6" t="s">
        <v>24</v>
      </c>
      <c r="C1573" s="6">
        <v>2018</v>
      </c>
      <c r="D1573" s="6" t="s">
        <v>0</v>
      </c>
      <c r="E1573" s="6" t="s">
        <v>4</v>
      </c>
      <c r="F1573" s="7">
        <v>2100</v>
      </c>
    </row>
    <row r="1574" spans="1:6" ht="28" x14ac:dyDescent="0.3">
      <c r="A1574" s="6" t="s">
        <v>8</v>
      </c>
      <c r="B1574" s="6" t="s">
        <v>25</v>
      </c>
      <c r="C1574" s="6">
        <v>2018</v>
      </c>
      <c r="D1574" s="6" t="s">
        <v>0</v>
      </c>
      <c r="E1574" s="6" t="s">
        <v>4</v>
      </c>
      <c r="F1574" s="7">
        <v>666</v>
      </c>
    </row>
    <row r="1575" spans="1:6" ht="28" x14ac:dyDescent="0.3">
      <c r="A1575" s="6" t="s">
        <v>9</v>
      </c>
      <c r="B1575" s="6" t="s">
        <v>26</v>
      </c>
      <c r="C1575" s="6">
        <v>2018</v>
      </c>
      <c r="D1575" s="6" t="s">
        <v>0</v>
      </c>
      <c r="E1575" s="6" t="s">
        <v>4</v>
      </c>
      <c r="F1575" s="7">
        <v>38</v>
      </c>
    </row>
    <row r="1576" spans="1:6" ht="28" x14ac:dyDescent="0.3">
      <c r="A1576" s="6" t="s">
        <v>9</v>
      </c>
      <c r="B1576" s="6" t="s">
        <v>35</v>
      </c>
      <c r="C1576" s="6">
        <v>2018</v>
      </c>
      <c r="D1576" s="6" t="s">
        <v>0</v>
      </c>
      <c r="E1576" s="6" t="s">
        <v>4</v>
      </c>
      <c r="F1576" s="7">
        <v>28</v>
      </c>
    </row>
    <row r="1577" spans="1:6" ht="28" x14ac:dyDescent="0.3">
      <c r="A1577" s="6" t="s">
        <v>9</v>
      </c>
      <c r="B1577" s="6" t="s">
        <v>36</v>
      </c>
      <c r="C1577" s="6">
        <v>2018</v>
      </c>
      <c r="D1577" s="6" t="s">
        <v>0</v>
      </c>
      <c r="E1577" s="6" t="s">
        <v>4</v>
      </c>
      <c r="F1577" s="7">
        <v>37</v>
      </c>
    </row>
    <row r="1578" spans="1:6" ht="28" x14ac:dyDescent="0.3">
      <c r="A1578" s="6" t="s">
        <v>9</v>
      </c>
      <c r="B1578" s="6" t="s">
        <v>37</v>
      </c>
      <c r="C1578" s="6">
        <v>2018</v>
      </c>
      <c r="D1578" s="6" t="s">
        <v>0</v>
      </c>
      <c r="E1578" s="6" t="s">
        <v>4</v>
      </c>
      <c r="F1578" s="7">
        <v>36</v>
      </c>
    </row>
    <row r="1579" spans="1:6" ht="28" x14ac:dyDescent="0.3">
      <c r="A1579" s="6" t="s">
        <v>9</v>
      </c>
      <c r="B1579" s="6" t="s">
        <v>38</v>
      </c>
      <c r="C1579" s="6">
        <v>2018</v>
      </c>
      <c r="D1579" s="6" t="s">
        <v>0</v>
      </c>
      <c r="E1579" s="6" t="s">
        <v>4</v>
      </c>
      <c r="F1579" s="7">
        <v>1193</v>
      </c>
    </row>
    <row r="1580" spans="1:6" ht="28" x14ac:dyDescent="0.3">
      <c r="A1580" s="6" t="s">
        <v>9</v>
      </c>
      <c r="B1580" s="6" t="s">
        <v>39</v>
      </c>
      <c r="C1580" s="6">
        <v>2018</v>
      </c>
      <c r="D1580" s="6" t="s">
        <v>0</v>
      </c>
      <c r="E1580" s="6" t="s">
        <v>4</v>
      </c>
      <c r="F1580" s="7">
        <v>21</v>
      </c>
    </row>
    <row r="1581" spans="1:6" ht="28" x14ac:dyDescent="0.3">
      <c r="A1581" s="6" t="s">
        <v>9</v>
      </c>
      <c r="B1581" s="6" t="s">
        <v>40</v>
      </c>
      <c r="C1581" s="6">
        <v>2018</v>
      </c>
      <c r="D1581" s="6" t="s">
        <v>0</v>
      </c>
      <c r="E1581" s="6" t="s">
        <v>4</v>
      </c>
      <c r="F1581" s="7">
        <v>74</v>
      </c>
    </row>
    <row r="1582" spans="1:6" ht="28" x14ac:dyDescent="0.3">
      <c r="A1582" s="6" t="s">
        <v>9</v>
      </c>
      <c r="B1582" s="6" t="s">
        <v>41</v>
      </c>
      <c r="C1582" s="6">
        <v>2018</v>
      </c>
      <c r="D1582" s="6" t="s">
        <v>0</v>
      </c>
      <c r="E1582" s="6" t="s">
        <v>4</v>
      </c>
      <c r="F1582" s="7">
        <v>2034</v>
      </c>
    </row>
    <row r="1583" spans="1:6" ht="28" x14ac:dyDescent="0.3">
      <c r="A1583" s="6" t="s">
        <v>9</v>
      </c>
      <c r="B1583" s="6" t="s">
        <v>42</v>
      </c>
      <c r="C1583" s="6">
        <v>2018</v>
      </c>
      <c r="D1583" s="6" t="s">
        <v>0</v>
      </c>
      <c r="E1583" s="6" t="s">
        <v>4</v>
      </c>
      <c r="F1583" s="7">
        <v>2217</v>
      </c>
    </row>
    <row r="1584" spans="1:6" ht="28" x14ac:dyDescent="0.3">
      <c r="A1584" s="6" t="s">
        <v>9</v>
      </c>
      <c r="B1584" s="6" t="s">
        <v>43</v>
      </c>
      <c r="C1584" s="6">
        <v>2018</v>
      </c>
      <c r="D1584" s="6" t="s">
        <v>0</v>
      </c>
      <c r="E1584" s="6" t="s">
        <v>4</v>
      </c>
      <c r="F1584" s="7">
        <v>1214</v>
      </c>
    </row>
    <row r="1585" spans="1:6" ht="28" x14ac:dyDescent="0.3">
      <c r="A1585" s="6" t="s">
        <v>9</v>
      </c>
      <c r="B1585" s="6" t="s">
        <v>44</v>
      </c>
      <c r="C1585" s="6">
        <v>2018</v>
      </c>
      <c r="D1585" s="6" t="s">
        <v>0</v>
      </c>
      <c r="E1585" s="6" t="s">
        <v>4</v>
      </c>
      <c r="F1585" s="7">
        <v>358</v>
      </c>
    </row>
    <row r="1586" spans="1:6" ht="28" x14ac:dyDescent="0.3">
      <c r="A1586" s="6" t="s">
        <v>9</v>
      </c>
      <c r="B1586" s="6" t="s">
        <v>27</v>
      </c>
      <c r="C1586" s="6">
        <v>2018</v>
      </c>
      <c r="D1586" s="6" t="s">
        <v>0</v>
      </c>
      <c r="E1586" s="6" t="s">
        <v>4</v>
      </c>
      <c r="F1586" s="7">
        <v>96</v>
      </c>
    </row>
    <row r="1587" spans="1:6" ht="28" x14ac:dyDescent="0.3">
      <c r="A1587" s="6" t="s">
        <v>9</v>
      </c>
      <c r="B1587" s="6" t="s">
        <v>45</v>
      </c>
      <c r="C1587" s="6">
        <v>2018</v>
      </c>
      <c r="D1587" s="6" t="s">
        <v>0</v>
      </c>
      <c r="E1587" s="6" t="s">
        <v>4</v>
      </c>
      <c r="F1587" s="7">
        <v>5</v>
      </c>
    </row>
    <row r="1588" spans="1:6" ht="28" x14ac:dyDescent="0.3">
      <c r="A1588" s="6" t="s">
        <v>9</v>
      </c>
      <c r="B1588" s="6" t="s">
        <v>46</v>
      </c>
      <c r="C1588" s="6">
        <v>2018</v>
      </c>
      <c r="D1588" s="6" t="s">
        <v>0</v>
      </c>
      <c r="E1588" s="6" t="s">
        <v>4</v>
      </c>
      <c r="F1588" s="7">
        <v>622</v>
      </c>
    </row>
    <row r="1589" spans="1:6" ht="28" x14ac:dyDescent="0.3">
      <c r="A1589" s="6" t="s">
        <v>9</v>
      </c>
      <c r="B1589" s="6" t="s">
        <v>47</v>
      </c>
      <c r="C1589" s="6">
        <v>2018</v>
      </c>
      <c r="D1589" s="6" t="s">
        <v>0</v>
      </c>
      <c r="E1589" s="6" t="s">
        <v>4</v>
      </c>
      <c r="F1589" s="7">
        <v>259</v>
      </c>
    </row>
    <row r="1590" spans="1:6" ht="28" x14ac:dyDescent="0.3">
      <c r="A1590" s="6" t="s">
        <v>9</v>
      </c>
      <c r="B1590" s="6" t="s">
        <v>48</v>
      </c>
      <c r="C1590" s="6">
        <v>2018</v>
      </c>
      <c r="D1590" s="6" t="s">
        <v>0</v>
      </c>
      <c r="E1590" s="6" t="s">
        <v>4</v>
      </c>
      <c r="F1590" s="7">
        <v>531</v>
      </c>
    </row>
    <row r="1591" spans="1:6" ht="28" x14ac:dyDescent="0.3">
      <c r="A1591" s="6" t="s">
        <v>9</v>
      </c>
      <c r="B1591" s="6" t="s">
        <v>49</v>
      </c>
      <c r="C1591" s="6">
        <v>2018</v>
      </c>
      <c r="D1591" s="6" t="s">
        <v>0</v>
      </c>
      <c r="E1591" s="6" t="s">
        <v>4</v>
      </c>
      <c r="F1591" s="7">
        <v>1115</v>
      </c>
    </row>
    <row r="1592" spans="1:6" ht="28" x14ac:dyDescent="0.3">
      <c r="A1592" s="6" t="s">
        <v>9</v>
      </c>
      <c r="B1592" s="6" t="s">
        <v>50</v>
      </c>
      <c r="C1592" s="6">
        <v>2018</v>
      </c>
      <c r="D1592" s="6" t="s">
        <v>0</v>
      </c>
      <c r="E1592" s="6" t="s">
        <v>4</v>
      </c>
      <c r="F1592" s="7">
        <v>829</v>
      </c>
    </row>
    <row r="1593" spans="1:6" ht="28" x14ac:dyDescent="0.3">
      <c r="A1593" s="6" t="s">
        <v>9</v>
      </c>
      <c r="B1593" s="6" t="s">
        <v>51</v>
      </c>
      <c r="C1593" s="6">
        <v>2018</v>
      </c>
      <c r="D1593" s="6" t="s">
        <v>0</v>
      </c>
      <c r="E1593" s="6" t="s">
        <v>4</v>
      </c>
      <c r="F1593" s="7">
        <v>2068</v>
      </c>
    </row>
    <row r="1594" spans="1:6" ht="28" x14ac:dyDescent="0.3">
      <c r="A1594" s="6" t="s">
        <v>9</v>
      </c>
      <c r="B1594" s="6" t="s">
        <v>52</v>
      </c>
      <c r="C1594" s="6">
        <v>2018</v>
      </c>
      <c r="D1594" s="6" t="s">
        <v>0</v>
      </c>
      <c r="E1594" s="6" t="s">
        <v>4</v>
      </c>
      <c r="F1594" s="7">
        <v>2802</v>
      </c>
    </row>
    <row r="1595" spans="1:6" ht="28" x14ac:dyDescent="0.3">
      <c r="A1595" s="6" t="s">
        <v>9</v>
      </c>
      <c r="B1595" s="6" t="s">
        <v>53</v>
      </c>
      <c r="C1595" s="6">
        <v>2018</v>
      </c>
      <c r="D1595" s="6" t="s">
        <v>0</v>
      </c>
      <c r="E1595" s="6" t="s">
        <v>4</v>
      </c>
      <c r="F1595" s="7">
        <v>2492</v>
      </c>
    </row>
    <row r="1596" spans="1:6" ht="28" x14ac:dyDescent="0.3">
      <c r="A1596" s="6" t="s">
        <v>9</v>
      </c>
      <c r="B1596" s="6" t="s">
        <v>54</v>
      </c>
      <c r="C1596" s="6">
        <v>2018</v>
      </c>
      <c r="D1596" s="6" t="s">
        <v>0</v>
      </c>
      <c r="E1596" s="6" t="s">
        <v>4</v>
      </c>
      <c r="F1596" s="7">
        <v>355</v>
      </c>
    </row>
    <row r="1597" spans="1:6" ht="28" x14ac:dyDescent="0.3">
      <c r="A1597" s="6" t="s">
        <v>9</v>
      </c>
      <c r="B1597" s="6" t="s">
        <v>28</v>
      </c>
      <c r="C1597" s="6">
        <v>2018</v>
      </c>
      <c r="D1597" s="6" t="s">
        <v>0</v>
      </c>
      <c r="E1597" s="6" t="s">
        <v>4</v>
      </c>
      <c r="F1597" s="7">
        <v>3080</v>
      </c>
    </row>
    <row r="1598" spans="1:6" ht="28" x14ac:dyDescent="0.3">
      <c r="A1598" s="6" t="s">
        <v>9</v>
      </c>
      <c r="B1598" s="6" t="s">
        <v>55</v>
      </c>
      <c r="C1598" s="6">
        <v>2018</v>
      </c>
      <c r="D1598" s="6" t="s">
        <v>0</v>
      </c>
      <c r="E1598" s="6" t="s">
        <v>4</v>
      </c>
      <c r="F1598" s="7">
        <v>857</v>
      </c>
    </row>
    <row r="1599" spans="1:6" ht="28" x14ac:dyDescent="0.3">
      <c r="A1599" s="6" t="s">
        <v>9</v>
      </c>
      <c r="B1599" s="6" t="s">
        <v>56</v>
      </c>
      <c r="C1599" s="6">
        <v>2018</v>
      </c>
      <c r="D1599" s="6" t="s">
        <v>0</v>
      </c>
      <c r="E1599" s="6" t="s">
        <v>4</v>
      </c>
      <c r="F1599" s="7">
        <v>2155</v>
      </c>
    </row>
    <row r="1600" spans="1:6" ht="28" x14ac:dyDescent="0.3">
      <c r="A1600" s="6" t="s">
        <v>9</v>
      </c>
      <c r="B1600" s="6" t="s">
        <v>57</v>
      </c>
      <c r="C1600" s="6">
        <v>2018</v>
      </c>
      <c r="D1600" s="6" t="s">
        <v>0</v>
      </c>
      <c r="E1600" s="6" t="s">
        <v>4</v>
      </c>
      <c r="F1600" s="7">
        <v>1006</v>
      </c>
    </row>
    <row r="1601" spans="1:6" ht="28" x14ac:dyDescent="0.3">
      <c r="A1601" s="6" t="s">
        <v>9</v>
      </c>
      <c r="B1601" s="6" t="s">
        <v>58</v>
      </c>
      <c r="C1601" s="6">
        <v>2018</v>
      </c>
      <c r="D1601" s="6" t="s">
        <v>0</v>
      </c>
      <c r="E1601" s="6" t="s">
        <v>4</v>
      </c>
      <c r="F1601" s="7">
        <v>2776</v>
      </c>
    </row>
    <row r="1602" spans="1:6" ht="28" x14ac:dyDescent="0.3">
      <c r="A1602" s="6" t="s">
        <v>9</v>
      </c>
      <c r="B1602" s="6" t="s">
        <v>29</v>
      </c>
      <c r="C1602" s="6">
        <v>2018</v>
      </c>
      <c r="D1602" s="6" t="s">
        <v>0</v>
      </c>
      <c r="E1602" s="6" t="s">
        <v>4</v>
      </c>
      <c r="F1602" s="7">
        <v>14</v>
      </c>
    </row>
    <row r="1603" spans="1:6" ht="28" x14ac:dyDescent="0.3">
      <c r="A1603" s="6" t="s">
        <v>9</v>
      </c>
      <c r="B1603" s="6" t="s">
        <v>30</v>
      </c>
      <c r="C1603" s="6">
        <v>2018</v>
      </c>
      <c r="D1603" s="6" t="s">
        <v>0</v>
      </c>
      <c r="E1603" s="6" t="s">
        <v>4</v>
      </c>
      <c r="F1603" s="7">
        <v>52</v>
      </c>
    </row>
    <row r="1604" spans="1:6" ht="28" x14ac:dyDescent="0.3">
      <c r="A1604" s="6" t="s">
        <v>9</v>
      </c>
      <c r="B1604" s="6" t="s">
        <v>31</v>
      </c>
      <c r="C1604" s="6">
        <v>2018</v>
      </c>
      <c r="D1604" s="6" t="s">
        <v>0</v>
      </c>
      <c r="E1604" s="6" t="s">
        <v>4</v>
      </c>
      <c r="F1604" s="7">
        <v>1121</v>
      </c>
    </row>
    <row r="1605" spans="1:6" ht="28" x14ac:dyDescent="0.3">
      <c r="A1605" s="6" t="s">
        <v>9</v>
      </c>
      <c r="B1605" s="6" t="s">
        <v>32</v>
      </c>
      <c r="C1605" s="6">
        <v>2018</v>
      </c>
      <c r="D1605" s="6" t="s">
        <v>0</v>
      </c>
      <c r="E1605" s="6" t="s">
        <v>4</v>
      </c>
      <c r="F1605" s="7">
        <v>27</v>
      </c>
    </row>
    <row r="1606" spans="1:6" ht="28" x14ac:dyDescent="0.3">
      <c r="A1606" s="6" t="s">
        <v>9</v>
      </c>
      <c r="B1606" s="6" t="s">
        <v>33</v>
      </c>
      <c r="C1606" s="6">
        <v>2018</v>
      </c>
      <c r="D1606" s="6" t="s">
        <v>0</v>
      </c>
      <c r="E1606" s="6" t="s">
        <v>4</v>
      </c>
      <c r="F1606" s="7">
        <v>491</v>
      </c>
    </row>
    <row r="1607" spans="1:6" ht="28" x14ac:dyDescent="0.3">
      <c r="A1607" s="6" t="s">
        <v>9</v>
      </c>
      <c r="B1607" s="6" t="s">
        <v>34</v>
      </c>
      <c r="C1607" s="6">
        <v>2018</v>
      </c>
      <c r="D1607" s="6" t="s">
        <v>0</v>
      </c>
      <c r="E1607" s="6" t="s">
        <v>4</v>
      </c>
      <c r="F1607" s="7">
        <v>149</v>
      </c>
    </row>
    <row r="1608" spans="1:6" ht="28" x14ac:dyDescent="0.3">
      <c r="A1608" s="6" t="s">
        <v>10</v>
      </c>
      <c r="B1608" s="6" t="s">
        <v>59</v>
      </c>
      <c r="C1608" s="6">
        <v>2018</v>
      </c>
      <c r="D1608" s="6" t="s">
        <v>0</v>
      </c>
      <c r="E1608" s="6" t="s">
        <v>4</v>
      </c>
      <c r="F1608" s="7">
        <v>2038</v>
      </c>
    </row>
    <row r="1609" spans="1:6" ht="28" x14ac:dyDescent="0.3">
      <c r="A1609" s="6" t="s">
        <v>10</v>
      </c>
      <c r="B1609" s="6" t="s">
        <v>60</v>
      </c>
      <c r="C1609" s="6">
        <v>2018</v>
      </c>
      <c r="D1609" s="6" t="s">
        <v>0</v>
      </c>
      <c r="E1609" s="6" t="s">
        <v>4</v>
      </c>
      <c r="F1609" s="7">
        <v>481</v>
      </c>
    </row>
    <row r="1610" spans="1:6" ht="28" x14ac:dyDescent="0.3">
      <c r="A1610" s="6" t="s">
        <v>10</v>
      </c>
      <c r="B1610" s="6" t="s">
        <v>61</v>
      </c>
      <c r="C1610" s="6">
        <v>2018</v>
      </c>
      <c r="D1610" s="6" t="s">
        <v>0</v>
      </c>
      <c r="E1610" s="6" t="s">
        <v>4</v>
      </c>
      <c r="F1610" s="7">
        <v>295</v>
      </c>
    </row>
    <row r="1611" spans="1:6" ht="28" x14ac:dyDescent="0.3">
      <c r="A1611" s="6" t="s">
        <v>10</v>
      </c>
      <c r="B1611" s="6" t="s">
        <v>62</v>
      </c>
      <c r="C1611" s="6">
        <v>2018</v>
      </c>
      <c r="D1611" s="6" t="s">
        <v>0</v>
      </c>
      <c r="E1611" s="6" t="s">
        <v>4</v>
      </c>
      <c r="F1611" s="7">
        <v>42</v>
      </c>
    </row>
    <row r="1612" spans="1:6" ht="28" x14ac:dyDescent="0.3">
      <c r="A1612" s="6" t="s">
        <v>10</v>
      </c>
      <c r="B1612" s="6" t="s">
        <v>63</v>
      </c>
      <c r="C1612" s="6">
        <v>2018</v>
      </c>
      <c r="D1612" s="6" t="s">
        <v>0</v>
      </c>
      <c r="E1612" s="6" t="s">
        <v>4</v>
      </c>
      <c r="F1612" s="7">
        <v>517</v>
      </c>
    </row>
    <row r="1613" spans="1:6" ht="28" x14ac:dyDescent="0.3">
      <c r="A1613" s="6" t="s">
        <v>10</v>
      </c>
      <c r="B1613" s="6" t="s">
        <v>64</v>
      </c>
      <c r="C1613" s="6">
        <v>2018</v>
      </c>
      <c r="D1613" s="6" t="s">
        <v>0</v>
      </c>
      <c r="E1613" s="6" t="s">
        <v>4</v>
      </c>
      <c r="F1613" s="7">
        <v>68</v>
      </c>
    </row>
    <row r="1614" spans="1:6" ht="28" x14ac:dyDescent="0.3">
      <c r="A1614" s="6" t="s">
        <v>10</v>
      </c>
      <c r="B1614" s="6" t="s">
        <v>65</v>
      </c>
      <c r="C1614" s="6">
        <v>2018</v>
      </c>
      <c r="D1614" s="6" t="s">
        <v>0</v>
      </c>
      <c r="E1614" s="6" t="s">
        <v>4</v>
      </c>
      <c r="F1614" s="7">
        <v>1612</v>
      </c>
    </row>
    <row r="1615" spans="1:6" ht="28" x14ac:dyDescent="0.3">
      <c r="A1615" s="6" t="s">
        <v>10</v>
      </c>
      <c r="B1615" s="6" t="s">
        <v>66</v>
      </c>
      <c r="C1615" s="6">
        <v>2018</v>
      </c>
      <c r="D1615" s="6" t="s">
        <v>0</v>
      </c>
      <c r="E1615" s="6" t="s">
        <v>4</v>
      </c>
      <c r="F1615" s="7">
        <v>597</v>
      </c>
    </row>
    <row r="1616" spans="1:6" ht="28" x14ac:dyDescent="0.3">
      <c r="A1616" s="6" t="s">
        <v>11</v>
      </c>
      <c r="B1616" s="6" t="s">
        <v>67</v>
      </c>
      <c r="C1616" s="6">
        <v>2018</v>
      </c>
      <c r="D1616" s="6" t="s">
        <v>0</v>
      </c>
      <c r="E1616" s="6" t="s">
        <v>4</v>
      </c>
      <c r="F1616" s="7">
        <v>84</v>
      </c>
    </row>
    <row r="1617" spans="1:6" ht="28" x14ac:dyDescent="0.3">
      <c r="A1617" s="6" t="s">
        <v>11</v>
      </c>
      <c r="B1617" s="6" t="s">
        <v>76</v>
      </c>
      <c r="C1617" s="6">
        <v>2018</v>
      </c>
      <c r="D1617" s="6" t="s">
        <v>0</v>
      </c>
      <c r="E1617" s="6" t="s">
        <v>4</v>
      </c>
      <c r="F1617" s="7">
        <v>295</v>
      </c>
    </row>
    <row r="1618" spans="1:6" ht="28" x14ac:dyDescent="0.3">
      <c r="A1618" s="6" t="s">
        <v>11</v>
      </c>
      <c r="B1618" s="6" t="s">
        <v>77</v>
      </c>
      <c r="C1618" s="6">
        <v>2018</v>
      </c>
      <c r="D1618" s="6" t="s">
        <v>0</v>
      </c>
      <c r="E1618" s="6" t="s">
        <v>4</v>
      </c>
      <c r="F1618" s="7">
        <v>676</v>
      </c>
    </row>
    <row r="1619" spans="1:6" ht="28" x14ac:dyDescent="0.3">
      <c r="A1619" s="6" t="s">
        <v>11</v>
      </c>
      <c r="B1619" s="6" t="s">
        <v>78</v>
      </c>
      <c r="C1619" s="6">
        <v>2018</v>
      </c>
      <c r="D1619" s="6" t="s">
        <v>0</v>
      </c>
      <c r="E1619" s="6" t="s">
        <v>4</v>
      </c>
      <c r="F1619" s="7">
        <v>154</v>
      </c>
    </row>
    <row r="1620" spans="1:6" ht="28" x14ac:dyDescent="0.3">
      <c r="A1620" s="6" t="s">
        <v>11</v>
      </c>
      <c r="B1620" s="6" t="s">
        <v>79</v>
      </c>
      <c r="C1620" s="6">
        <v>2018</v>
      </c>
      <c r="D1620" s="6" t="s">
        <v>0</v>
      </c>
      <c r="E1620" s="6" t="s">
        <v>4</v>
      </c>
      <c r="F1620" s="7">
        <v>27</v>
      </c>
    </row>
    <row r="1621" spans="1:6" ht="28" x14ac:dyDescent="0.3">
      <c r="A1621" s="6" t="s">
        <v>11</v>
      </c>
      <c r="B1621" s="6" t="s">
        <v>80</v>
      </c>
      <c r="C1621" s="6">
        <v>2018</v>
      </c>
      <c r="D1621" s="6" t="s">
        <v>0</v>
      </c>
      <c r="E1621" s="6" t="s">
        <v>4</v>
      </c>
      <c r="F1621" s="7">
        <v>81</v>
      </c>
    </row>
    <row r="1622" spans="1:6" ht="28" x14ac:dyDescent="0.3">
      <c r="A1622" s="6" t="s">
        <v>11</v>
      </c>
      <c r="B1622" s="6" t="s">
        <v>68</v>
      </c>
      <c r="C1622" s="6">
        <v>2018</v>
      </c>
      <c r="D1622" s="6" t="s">
        <v>0</v>
      </c>
      <c r="E1622" s="6" t="s">
        <v>4</v>
      </c>
      <c r="F1622" s="7">
        <v>92</v>
      </c>
    </row>
    <row r="1623" spans="1:6" ht="28" x14ac:dyDescent="0.3">
      <c r="A1623" s="6" t="s">
        <v>11</v>
      </c>
      <c r="B1623" s="6" t="s">
        <v>69</v>
      </c>
      <c r="C1623" s="6">
        <v>2018</v>
      </c>
      <c r="D1623" s="6" t="s">
        <v>0</v>
      </c>
      <c r="E1623" s="6" t="s">
        <v>4</v>
      </c>
      <c r="F1623" s="7">
        <v>7172</v>
      </c>
    </row>
    <row r="1624" spans="1:6" ht="28" x14ac:dyDescent="0.3">
      <c r="A1624" s="6" t="s">
        <v>11</v>
      </c>
      <c r="B1624" s="6" t="s">
        <v>70</v>
      </c>
      <c r="C1624" s="6">
        <v>2018</v>
      </c>
      <c r="D1624" s="6" t="s">
        <v>0</v>
      </c>
      <c r="E1624" s="6" t="s">
        <v>4</v>
      </c>
      <c r="F1624" s="7">
        <v>3245</v>
      </c>
    </row>
    <row r="1625" spans="1:6" ht="28" x14ac:dyDescent="0.3">
      <c r="A1625" s="6" t="s">
        <v>11</v>
      </c>
      <c r="B1625" s="6" t="s">
        <v>71</v>
      </c>
      <c r="C1625" s="6">
        <v>2018</v>
      </c>
      <c r="D1625" s="6" t="s">
        <v>0</v>
      </c>
      <c r="E1625" s="6" t="s">
        <v>4</v>
      </c>
      <c r="F1625" s="7">
        <v>8</v>
      </c>
    </row>
    <row r="1626" spans="1:6" ht="28" x14ac:dyDescent="0.3">
      <c r="A1626" s="6" t="s">
        <v>11</v>
      </c>
      <c r="B1626" s="6" t="s">
        <v>72</v>
      </c>
      <c r="C1626" s="6">
        <v>2018</v>
      </c>
      <c r="D1626" s="6" t="s">
        <v>0</v>
      </c>
      <c r="E1626" s="6" t="s">
        <v>4</v>
      </c>
      <c r="F1626" s="7">
        <v>314</v>
      </c>
    </row>
    <row r="1627" spans="1:6" ht="28" x14ac:dyDescent="0.3">
      <c r="A1627" s="6" t="s">
        <v>11</v>
      </c>
      <c r="B1627" s="6" t="s">
        <v>73</v>
      </c>
      <c r="C1627" s="6">
        <v>2018</v>
      </c>
      <c r="D1627" s="6" t="s">
        <v>0</v>
      </c>
      <c r="E1627" s="6" t="s">
        <v>4</v>
      </c>
      <c r="F1627" s="7">
        <v>108</v>
      </c>
    </row>
    <row r="1628" spans="1:6" ht="28" x14ac:dyDescent="0.3">
      <c r="A1628" s="6" t="s">
        <v>11</v>
      </c>
      <c r="B1628" s="6" t="s">
        <v>74</v>
      </c>
      <c r="C1628" s="6">
        <v>2018</v>
      </c>
      <c r="D1628" s="6" t="s">
        <v>0</v>
      </c>
      <c r="E1628" s="6" t="s">
        <v>4</v>
      </c>
      <c r="F1628" s="7">
        <v>58</v>
      </c>
    </row>
    <row r="1629" spans="1:6" ht="28" x14ac:dyDescent="0.3">
      <c r="A1629" s="6" t="s">
        <v>11</v>
      </c>
      <c r="B1629" s="6" t="s">
        <v>75</v>
      </c>
      <c r="C1629" s="6">
        <v>2018</v>
      </c>
      <c r="D1629" s="6" t="s">
        <v>0</v>
      </c>
      <c r="E1629" s="6" t="s">
        <v>4</v>
      </c>
      <c r="F1629" s="7">
        <v>14762</v>
      </c>
    </row>
    <row r="1630" spans="1:6" ht="28" x14ac:dyDescent="0.3">
      <c r="A1630" s="6" t="s">
        <v>12</v>
      </c>
      <c r="B1630" s="6" t="s">
        <v>81</v>
      </c>
      <c r="C1630" s="6">
        <v>2018</v>
      </c>
      <c r="D1630" s="6" t="s">
        <v>0</v>
      </c>
      <c r="E1630" s="6" t="s">
        <v>4</v>
      </c>
      <c r="F1630" s="7">
        <v>68</v>
      </c>
    </row>
    <row r="1631" spans="1:6" ht="28" x14ac:dyDescent="0.3">
      <c r="A1631" s="6" t="s">
        <v>12</v>
      </c>
      <c r="B1631" s="6" t="s">
        <v>82</v>
      </c>
      <c r="C1631" s="6">
        <v>2018</v>
      </c>
      <c r="D1631" s="6" t="s">
        <v>0</v>
      </c>
      <c r="E1631" s="6" t="s">
        <v>4</v>
      </c>
      <c r="F1631" s="7">
        <v>931</v>
      </c>
    </row>
    <row r="1632" spans="1:6" ht="28" x14ac:dyDescent="0.3">
      <c r="A1632" s="6" t="s">
        <v>12</v>
      </c>
      <c r="B1632" s="6" t="s">
        <v>83</v>
      </c>
      <c r="C1632" s="6">
        <v>2018</v>
      </c>
      <c r="D1632" s="6" t="s">
        <v>0</v>
      </c>
      <c r="E1632" s="6" t="s">
        <v>4</v>
      </c>
      <c r="F1632" s="7">
        <v>280</v>
      </c>
    </row>
    <row r="1633" spans="1:6" ht="28" x14ac:dyDescent="0.3">
      <c r="A1633" s="6" t="s">
        <v>12</v>
      </c>
      <c r="B1633" s="6" t="s">
        <v>84</v>
      </c>
      <c r="C1633" s="6">
        <v>2018</v>
      </c>
      <c r="D1633" s="6" t="s">
        <v>0</v>
      </c>
      <c r="E1633" s="6" t="s">
        <v>4</v>
      </c>
      <c r="F1633" s="7">
        <v>87</v>
      </c>
    </row>
    <row r="1634" spans="1:6" ht="28" x14ac:dyDescent="0.3">
      <c r="A1634" s="6" t="s">
        <v>12</v>
      </c>
      <c r="B1634" s="6" t="s">
        <v>85</v>
      </c>
      <c r="C1634" s="6">
        <v>2018</v>
      </c>
      <c r="D1634" s="6" t="s">
        <v>0</v>
      </c>
      <c r="E1634" s="6" t="s">
        <v>4</v>
      </c>
      <c r="F1634" s="7">
        <v>2078</v>
      </c>
    </row>
    <row r="1635" spans="1:6" ht="28" x14ac:dyDescent="0.3">
      <c r="A1635" s="6" t="s">
        <v>12</v>
      </c>
      <c r="B1635" s="6" t="s">
        <v>86</v>
      </c>
      <c r="C1635" s="6">
        <v>2018</v>
      </c>
      <c r="D1635" s="6" t="s">
        <v>0</v>
      </c>
      <c r="E1635" s="6" t="s">
        <v>4</v>
      </c>
      <c r="F1635" s="7">
        <v>62</v>
      </c>
    </row>
    <row r="1636" spans="1:6" ht="28" x14ac:dyDescent="0.3">
      <c r="A1636" s="6" t="s">
        <v>12</v>
      </c>
      <c r="B1636" s="6" t="s">
        <v>87</v>
      </c>
      <c r="C1636" s="6">
        <v>2018</v>
      </c>
      <c r="D1636" s="6" t="s">
        <v>0</v>
      </c>
      <c r="E1636" s="6" t="s">
        <v>4</v>
      </c>
      <c r="F1636" s="7">
        <v>219</v>
      </c>
    </row>
    <row r="1637" spans="1:6" ht="28" x14ac:dyDescent="0.3">
      <c r="A1637" s="6" t="s">
        <v>12</v>
      </c>
      <c r="B1637" s="6" t="s">
        <v>88</v>
      </c>
      <c r="C1637" s="6">
        <v>2018</v>
      </c>
      <c r="D1637" s="6" t="s">
        <v>0</v>
      </c>
      <c r="E1637" s="6" t="s">
        <v>4</v>
      </c>
      <c r="F1637" s="7">
        <v>1855</v>
      </c>
    </row>
    <row r="1638" spans="1:6" ht="28" x14ac:dyDescent="0.3">
      <c r="A1638" s="6" t="s">
        <v>13</v>
      </c>
      <c r="B1638" s="6" t="s">
        <v>89</v>
      </c>
      <c r="C1638" s="6">
        <v>2018</v>
      </c>
      <c r="D1638" s="6" t="s">
        <v>0</v>
      </c>
      <c r="E1638" s="6" t="s">
        <v>4</v>
      </c>
      <c r="F1638" s="7">
        <v>28</v>
      </c>
    </row>
    <row r="1639" spans="1:6" ht="28" x14ac:dyDescent="0.3">
      <c r="A1639" s="6" t="s">
        <v>13</v>
      </c>
      <c r="B1639" s="6" t="s">
        <v>98</v>
      </c>
      <c r="C1639" s="6">
        <v>2018</v>
      </c>
      <c r="D1639" s="6" t="s">
        <v>0</v>
      </c>
      <c r="E1639" s="6" t="s">
        <v>4</v>
      </c>
      <c r="F1639" s="7">
        <v>15</v>
      </c>
    </row>
    <row r="1640" spans="1:6" ht="28" x14ac:dyDescent="0.3">
      <c r="A1640" s="6" t="s">
        <v>13</v>
      </c>
      <c r="B1640" s="6" t="s">
        <v>99</v>
      </c>
      <c r="C1640" s="6">
        <v>2018</v>
      </c>
      <c r="D1640" s="6" t="s">
        <v>0</v>
      </c>
      <c r="E1640" s="6" t="s">
        <v>4</v>
      </c>
      <c r="F1640" s="7">
        <v>42</v>
      </c>
    </row>
    <row r="1641" spans="1:6" ht="28" x14ac:dyDescent="0.3">
      <c r="A1641" s="6" t="s">
        <v>13</v>
      </c>
      <c r="B1641" s="6" t="s">
        <v>90</v>
      </c>
      <c r="C1641" s="6">
        <v>2018</v>
      </c>
      <c r="D1641" s="6" t="s">
        <v>0</v>
      </c>
      <c r="E1641" s="6" t="s">
        <v>4</v>
      </c>
      <c r="F1641" s="7">
        <v>257</v>
      </c>
    </row>
    <row r="1642" spans="1:6" ht="28" x14ac:dyDescent="0.3">
      <c r="A1642" s="6" t="s">
        <v>13</v>
      </c>
      <c r="B1642" s="6" t="s">
        <v>91</v>
      </c>
      <c r="C1642" s="6">
        <v>2018</v>
      </c>
      <c r="D1642" s="6" t="s">
        <v>0</v>
      </c>
      <c r="E1642" s="6" t="s">
        <v>4</v>
      </c>
      <c r="F1642" s="7">
        <v>24</v>
      </c>
    </row>
    <row r="1643" spans="1:6" ht="28" x14ac:dyDescent="0.3">
      <c r="A1643" s="6" t="s">
        <v>13</v>
      </c>
      <c r="B1643" s="6" t="s">
        <v>92</v>
      </c>
      <c r="C1643" s="6">
        <v>2018</v>
      </c>
      <c r="D1643" s="6" t="s">
        <v>0</v>
      </c>
      <c r="E1643" s="6" t="s">
        <v>4</v>
      </c>
      <c r="F1643" s="7">
        <v>65</v>
      </c>
    </row>
    <row r="1644" spans="1:6" ht="28" x14ac:dyDescent="0.3">
      <c r="A1644" s="6" t="s">
        <v>13</v>
      </c>
      <c r="B1644" s="6" t="s">
        <v>93</v>
      </c>
      <c r="C1644" s="6">
        <v>2018</v>
      </c>
      <c r="D1644" s="6" t="s">
        <v>0</v>
      </c>
      <c r="E1644" s="6" t="s">
        <v>4</v>
      </c>
      <c r="F1644" s="7">
        <v>27</v>
      </c>
    </row>
    <row r="1645" spans="1:6" ht="28" x14ac:dyDescent="0.3">
      <c r="A1645" s="6" t="s">
        <v>13</v>
      </c>
      <c r="B1645" s="6" t="s">
        <v>94</v>
      </c>
      <c r="C1645" s="6">
        <v>2018</v>
      </c>
      <c r="D1645" s="6" t="s">
        <v>0</v>
      </c>
      <c r="E1645" s="6" t="s">
        <v>4</v>
      </c>
      <c r="F1645" s="7">
        <v>8</v>
      </c>
    </row>
    <row r="1646" spans="1:6" ht="28" x14ac:dyDescent="0.3">
      <c r="A1646" s="6" t="s">
        <v>13</v>
      </c>
      <c r="B1646" s="6" t="s">
        <v>95</v>
      </c>
      <c r="C1646" s="6">
        <v>2018</v>
      </c>
      <c r="D1646" s="6" t="s">
        <v>0</v>
      </c>
      <c r="E1646" s="6" t="s">
        <v>4</v>
      </c>
      <c r="F1646" s="7">
        <v>73</v>
      </c>
    </row>
    <row r="1647" spans="1:6" ht="28" x14ac:dyDescent="0.3">
      <c r="A1647" s="6" t="s">
        <v>13</v>
      </c>
      <c r="B1647" s="6" t="s">
        <v>96</v>
      </c>
      <c r="C1647" s="6">
        <v>2018</v>
      </c>
      <c r="D1647" s="6" t="s">
        <v>0</v>
      </c>
      <c r="E1647" s="6" t="s">
        <v>4</v>
      </c>
      <c r="F1647" s="7">
        <v>469</v>
      </c>
    </row>
    <row r="1648" spans="1:6" ht="28" x14ac:dyDescent="0.3">
      <c r="A1648" s="6" t="s">
        <v>13</v>
      </c>
      <c r="B1648" s="6" t="s">
        <v>97</v>
      </c>
      <c r="C1648" s="6">
        <v>2018</v>
      </c>
      <c r="D1648" s="6" t="s">
        <v>0</v>
      </c>
      <c r="E1648" s="6" t="s">
        <v>4</v>
      </c>
      <c r="F1648" s="7">
        <v>53</v>
      </c>
    </row>
    <row r="1649" spans="1:6" ht="28" x14ac:dyDescent="0.3">
      <c r="A1649" s="6" t="s">
        <v>14</v>
      </c>
      <c r="B1649" s="6" t="s">
        <v>100</v>
      </c>
      <c r="C1649" s="6">
        <v>2018</v>
      </c>
      <c r="D1649" s="6" t="s">
        <v>0</v>
      </c>
      <c r="E1649" s="6" t="s">
        <v>4</v>
      </c>
      <c r="F1649" s="7">
        <v>1669</v>
      </c>
    </row>
    <row r="1650" spans="1:6" ht="28" x14ac:dyDescent="0.3">
      <c r="A1650" s="6" t="s">
        <v>14</v>
      </c>
      <c r="B1650" s="6" t="s">
        <v>101</v>
      </c>
      <c r="C1650" s="6">
        <v>2018</v>
      </c>
      <c r="D1650" s="6" t="s">
        <v>0</v>
      </c>
      <c r="E1650" s="6" t="s">
        <v>4</v>
      </c>
      <c r="F1650" s="7">
        <v>288</v>
      </c>
    </row>
    <row r="1651" spans="1:6" ht="28" x14ac:dyDescent="0.3">
      <c r="A1651" s="6" t="s">
        <v>14</v>
      </c>
      <c r="B1651" s="6" t="s">
        <v>102</v>
      </c>
      <c r="C1651" s="6">
        <v>2018</v>
      </c>
      <c r="D1651" s="6" t="s">
        <v>0</v>
      </c>
      <c r="E1651" s="6" t="s">
        <v>4</v>
      </c>
      <c r="F1651" s="7">
        <v>4157</v>
      </c>
    </row>
    <row r="1652" spans="1:6" ht="28" x14ac:dyDescent="0.3">
      <c r="A1652" s="6" t="s">
        <v>14</v>
      </c>
      <c r="B1652" s="6" t="s">
        <v>103</v>
      </c>
      <c r="C1652" s="6">
        <v>2018</v>
      </c>
      <c r="D1652" s="6" t="s">
        <v>0</v>
      </c>
      <c r="E1652" s="6" t="s">
        <v>4</v>
      </c>
      <c r="F1652" s="7">
        <v>4240</v>
      </c>
    </row>
    <row r="1653" spans="1:6" ht="28" x14ac:dyDescent="0.3">
      <c r="A1653" s="6" t="s">
        <v>14</v>
      </c>
      <c r="B1653" s="6" t="s">
        <v>104</v>
      </c>
      <c r="C1653" s="6">
        <v>2018</v>
      </c>
      <c r="D1653" s="6" t="s">
        <v>0</v>
      </c>
      <c r="E1653" s="6" t="s">
        <v>4</v>
      </c>
      <c r="F1653" s="7">
        <v>7845</v>
      </c>
    </row>
    <row r="1654" spans="1:6" ht="28" x14ac:dyDescent="0.3">
      <c r="A1654" s="6" t="s">
        <v>14</v>
      </c>
      <c r="B1654" s="6" t="s">
        <v>105</v>
      </c>
      <c r="C1654" s="6">
        <v>2018</v>
      </c>
      <c r="D1654" s="6" t="s">
        <v>0</v>
      </c>
      <c r="E1654" s="6" t="s">
        <v>4</v>
      </c>
      <c r="F1654" s="7">
        <v>1945</v>
      </c>
    </row>
    <row r="1655" spans="1:6" ht="28" x14ac:dyDescent="0.3">
      <c r="A1655" s="6" t="s">
        <v>15</v>
      </c>
      <c r="B1655" s="6" t="s">
        <v>106</v>
      </c>
      <c r="C1655" s="6">
        <v>2018</v>
      </c>
      <c r="D1655" s="6" t="s">
        <v>0</v>
      </c>
      <c r="E1655" s="6" t="s">
        <v>4</v>
      </c>
      <c r="F1655" s="7">
        <v>288</v>
      </c>
    </row>
    <row r="1656" spans="1:6" ht="28" x14ac:dyDescent="0.3">
      <c r="A1656" s="6" t="s">
        <v>15</v>
      </c>
      <c r="B1656" s="6" t="s">
        <v>107</v>
      </c>
      <c r="C1656" s="6">
        <v>2018</v>
      </c>
      <c r="D1656" s="6" t="s">
        <v>0</v>
      </c>
      <c r="E1656" s="6" t="s">
        <v>4</v>
      </c>
      <c r="F1656" s="7">
        <v>18</v>
      </c>
    </row>
    <row r="1657" spans="1:6" ht="28" x14ac:dyDescent="0.3">
      <c r="A1657" s="6" t="s">
        <v>15</v>
      </c>
      <c r="B1657" s="6" t="s">
        <v>108</v>
      </c>
      <c r="C1657" s="6">
        <v>2018</v>
      </c>
      <c r="D1657" s="6" t="s">
        <v>0</v>
      </c>
      <c r="E1657" s="6" t="s">
        <v>4</v>
      </c>
      <c r="F1657" s="7">
        <v>278</v>
      </c>
    </row>
    <row r="1658" spans="1:6" ht="28" x14ac:dyDescent="0.3">
      <c r="A1658" s="6" t="s">
        <v>6</v>
      </c>
      <c r="B1658" s="6" t="s">
        <v>17</v>
      </c>
      <c r="C1658" s="6">
        <v>2018</v>
      </c>
      <c r="D1658" s="6" t="s">
        <v>1</v>
      </c>
      <c r="E1658" s="6" t="s">
        <v>5</v>
      </c>
      <c r="F1658" s="7">
        <v>33</v>
      </c>
    </row>
    <row r="1659" spans="1:6" ht="28" x14ac:dyDescent="0.3">
      <c r="A1659" s="6" t="s">
        <v>6</v>
      </c>
      <c r="B1659" s="6" t="s">
        <v>18</v>
      </c>
      <c r="C1659" s="6">
        <v>2018</v>
      </c>
      <c r="D1659" s="6" t="s">
        <v>1</v>
      </c>
      <c r="E1659" s="6" t="s">
        <v>5</v>
      </c>
      <c r="F1659" s="7">
        <v>764</v>
      </c>
    </row>
    <row r="1660" spans="1:6" ht="28" x14ac:dyDescent="0.3">
      <c r="A1660" s="6" t="s">
        <v>6</v>
      </c>
      <c r="B1660" s="6" t="s">
        <v>19</v>
      </c>
      <c r="C1660" s="6">
        <v>2018</v>
      </c>
      <c r="D1660" s="6" t="s">
        <v>1</v>
      </c>
      <c r="E1660" s="6" t="s">
        <v>5</v>
      </c>
      <c r="F1660" s="7">
        <v>19110</v>
      </c>
    </row>
    <row r="1661" spans="1:6" ht="28" x14ac:dyDescent="0.3">
      <c r="A1661" s="6" t="s">
        <v>6</v>
      </c>
      <c r="B1661" s="6" t="s">
        <v>20</v>
      </c>
      <c r="C1661" s="6">
        <v>2018</v>
      </c>
      <c r="D1661" s="6" t="s">
        <v>1</v>
      </c>
      <c r="E1661" s="6" t="s">
        <v>5</v>
      </c>
      <c r="F1661" s="7">
        <v>19249</v>
      </c>
    </row>
    <row r="1662" spans="1:6" ht="28" x14ac:dyDescent="0.3">
      <c r="A1662" s="6" t="s">
        <v>7</v>
      </c>
      <c r="B1662" s="6" t="s">
        <v>21</v>
      </c>
      <c r="C1662" s="6">
        <v>2018</v>
      </c>
      <c r="D1662" s="6" t="s">
        <v>1</v>
      </c>
      <c r="E1662" s="6" t="s">
        <v>5</v>
      </c>
      <c r="F1662" s="7">
        <v>1370</v>
      </c>
    </row>
    <row r="1663" spans="1:6" ht="28" x14ac:dyDescent="0.3">
      <c r="A1663" s="6" t="s">
        <v>7</v>
      </c>
      <c r="B1663" s="6" t="s">
        <v>22</v>
      </c>
      <c r="C1663" s="6">
        <v>2018</v>
      </c>
      <c r="D1663" s="6" t="s">
        <v>1</v>
      </c>
      <c r="E1663" s="6" t="s">
        <v>5</v>
      </c>
      <c r="F1663" s="7">
        <v>5</v>
      </c>
    </row>
    <row r="1664" spans="1:6" ht="28" x14ac:dyDescent="0.3">
      <c r="A1664" s="6" t="s">
        <v>7</v>
      </c>
      <c r="B1664" s="6" t="s">
        <v>23</v>
      </c>
      <c r="C1664" s="6">
        <v>2018</v>
      </c>
      <c r="D1664" s="6" t="s">
        <v>1</v>
      </c>
      <c r="E1664" s="6" t="s">
        <v>5</v>
      </c>
      <c r="F1664" s="7">
        <v>24</v>
      </c>
    </row>
    <row r="1665" spans="1:6" ht="28" x14ac:dyDescent="0.3">
      <c r="A1665" s="6" t="s">
        <v>8</v>
      </c>
      <c r="B1665" s="6" t="s">
        <v>24</v>
      </c>
      <c r="C1665" s="6">
        <v>2018</v>
      </c>
      <c r="D1665" s="6" t="s">
        <v>1</v>
      </c>
      <c r="E1665" s="6" t="s">
        <v>5</v>
      </c>
      <c r="F1665" s="7">
        <v>845</v>
      </c>
    </row>
    <row r="1666" spans="1:6" ht="28" x14ac:dyDescent="0.3">
      <c r="A1666" s="6" t="s">
        <v>8</v>
      </c>
      <c r="B1666" s="6" t="s">
        <v>25</v>
      </c>
      <c r="C1666" s="6">
        <v>2018</v>
      </c>
      <c r="D1666" s="6" t="s">
        <v>1</v>
      </c>
      <c r="E1666" s="6" t="s">
        <v>5</v>
      </c>
      <c r="F1666" s="7">
        <v>523</v>
      </c>
    </row>
    <row r="1667" spans="1:6" ht="28" x14ac:dyDescent="0.3">
      <c r="A1667" s="6" t="s">
        <v>9</v>
      </c>
      <c r="B1667" s="6" t="s">
        <v>26</v>
      </c>
      <c r="C1667" s="6">
        <v>2018</v>
      </c>
      <c r="D1667" s="6" t="s">
        <v>1</v>
      </c>
      <c r="E1667" s="6" t="s">
        <v>5</v>
      </c>
      <c r="F1667" s="7">
        <v>27</v>
      </c>
    </row>
    <row r="1668" spans="1:6" ht="28" x14ac:dyDescent="0.3">
      <c r="A1668" s="6" t="s">
        <v>9</v>
      </c>
      <c r="B1668" s="6" t="s">
        <v>35</v>
      </c>
      <c r="C1668" s="6">
        <v>2018</v>
      </c>
      <c r="D1668" s="6" t="s">
        <v>1</v>
      </c>
      <c r="E1668" s="6" t="s">
        <v>5</v>
      </c>
      <c r="F1668" s="7">
        <v>9</v>
      </c>
    </row>
    <row r="1669" spans="1:6" ht="28" x14ac:dyDescent="0.3">
      <c r="A1669" s="6" t="s">
        <v>9</v>
      </c>
      <c r="B1669" s="6" t="s">
        <v>36</v>
      </c>
      <c r="C1669" s="6">
        <v>2018</v>
      </c>
      <c r="D1669" s="6" t="s">
        <v>1</v>
      </c>
      <c r="E1669" s="6" t="s">
        <v>5</v>
      </c>
      <c r="F1669" s="7">
        <v>22</v>
      </c>
    </row>
    <row r="1670" spans="1:6" ht="28" x14ac:dyDescent="0.3">
      <c r="A1670" s="6" t="s">
        <v>9</v>
      </c>
      <c r="B1670" s="6" t="s">
        <v>37</v>
      </c>
      <c r="C1670" s="6">
        <v>2018</v>
      </c>
      <c r="D1670" s="6" t="s">
        <v>1</v>
      </c>
      <c r="E1670" s="6" t="s">
        <v>5</v>
      </c>
      <c r="F1670" s="7">
        <v>6</v>
      </c>
    </row>
    <row r="1671" spans="1:6" ht="28" x14ac:dyDescent="0.3">
      <c r="A1671" s="6" t="s">
        <v>9</v>
      </c>
      <c r="B1671" s="6" t="s">
        <v>38</v>
      </c>
      <c r="C1671" s="6">
        <v>2018</v>
      </c>
      <c r="D1671" s="6" t="s">
        <v>1</v>
      </c>
      <c r="E1671" s="6" t="s">
        <v>5</v>
      </c>
      <c r="F1671" s="7">
        <v>1273</v>
      </c>
    </row>
    <row r="1672" spans="1:6" ht="28" x14ac:dyDescent="0.3">
      <c r="A1672" s="6" t="s">
        <v>9</v>
      </c>
      <c r="B1672" s="6" t="s">
        <v>39</v>
      </c>
      <c r="C1672" s="6">
        <v>2018</v>
      </c>
      <c r="D1672" s="6" t="s">
        <v>1</v>
      </c>
      <c r="E1672" s="6" t="s">
        <v>5</v>
      </c>
      <c r="F1672" s="7">
        <v>6</v>
      </c>
    </row>
    <row r="1673" spans="1:6" ht="28" x14ac:dyDescent="0.3">
      <c r="A1673" s="6" t="s">
        <v>9</v>
      </c>
      <c r="B1673" s="6" t="s">
        <v>40</v>
      </c>
      <c r="C1673" s="6">
        <v>2018</v>
      </c>
      <c r="D1673" s="6" t="s">
        <v>1</v>
      </c>
      <c r="E1673" s="6" t="s">
        <v>5</v>
      </c>
      <c r="F1673" s="7">
        <v>11</v>
      </c>
    </row>
    <row r="1674" spans="1:6" ht="28" x14ac:dyDescent="0.3">
      <c r="A1674" s="6" t="s">
        <v>9</v>
      </c>
      <c r="B1674" s="6" t="s">
        <v>41</v>
      </c>
      <c r="C1674" s="6">
        <v>2018</v>
      </c>
      <c r="D1674" s="6" t="s">
        <v>1</v>
      </c>
      <c r="E1674" s="6" t="s">
        <v>5</v>
      </c>
      <c r="F1674" s="7">
        <v>1969</v>
      </c>
    </row>
    <row r="1675" spans="1:6" ht="28" x14ac:dyDescent="0.3">
      <c r="A1675" s="6" t="s">
        <v>9</v>
      </c>
      <c r="B1675" s="6" t="s">
        <v>42</v>
      </c>
      <c r="C1675" s="6">
        <v>2018</v>
      </c>
      <c r="D1675" s="6" t="s">
        <v>1</v>
      </c>
      <c r="E1675" s="6" t="s">
        <v>5</v>
      </c>
      <c r="F1675" s="7">
        <v>5830</v>
      </c>
    </row>
    <row r="1676" spans="1:6" ht="28" x14ac:dyDescent="0.3">
      <c r="A1676" s="6" t="s">
        <v>9</v>
      </c>
      <c r="B1676" s="6" t="s">
        <v>43</v>
      </c>
      <c r="C1676" s="6">
        <v>2018</v>
      </c>
      <c r="D1676" s="6" t="s">
        <v>1</v>
      </c>
      <c r="E1676" s="6" t="s">
        <v>5</v>
      </c>
      <c r="F1676" s="7">
        <v>2441</v>
      </c>
    </row>
    <row r="1677" spans="1:6" ht="28" x14ac:dyDescent="0.3">
      <c r="A1677" s="6" t="s">
        <v>9</v>
      </c>
      <c r="B1677" s="6" t="s">
        <v>44</v>
      </c>
      <c r="C1677" s="6">
        <v>2018</v>
      </c>
      <c r="D1677" s="6" t="s">
        <v>1</v>
      </c>
      <c r="E1677" s="6" t="s">
        <v>5</v>
      </c>
      <c r="F1677" s="7">
        <v>369</v>
      </c>
    </row>
    <row r="1678" spans="1:6" ht="28" x14ac:dyDescent="0.3">
      <c r="A1678" s="6" t="s">
        <v>9</v>
      </c>
      <c r="B1678" s="6" t="s">
        <v>27</v>
      </c>
      <c r="C1678" s="6">
        <v>2018</v>
      </c>
      <c r="D1678" s="6" t="s">
        <v>1</v>
      </c>
      <c r="E1678" s="6" t="s">
        <v>5</v>
      </c>
      <c r="F1678" s="7">
        <v>409</v>
      </c>
    </row>
    <row r="1679" spans="1:6" ht="28" x14ac:dyDescent="0.3">
      <c r="A1679" s="6" t="s">
        <v>9</v>
      </c>
      <c r="B1679" s="6" t="s">
        <v>45</v>
      </c>
      <c r="C1679" s="6">
        <v>2018</v>
      </c>
      <c r="D1679" s="6" t="s">
        <v>1</v>
      </c>
      <c r="E1679" s="6" t="s">
        <v>5</v>
      </c>
      <c r="F1679" s="7">
        <v>6</v>
      </c>
    </row>
    <row r="1680" spans="1:6" ht="28" x14ac:dyDescent="0.3">
      <c r="A1680" s="6" t="s">
        <v>9</v>
      </c>
      <c r="B1680" s="6" t="s">
        <v>46</v>
      </c>
      <c r="C1680" s="6">
        <v>2018</v>
      </c>
      <c r="D1680" s="6" t="s">
        <v>1</v>
      </c>
      <c r="E1680" s="6" t="s">
        <v>5</v>
      </c>
      <c r="F1680" s="7">
        <v>1604</v>
      </c>
    </row>
    <row r="1681" spans="1:6" ht="28" x14ac:dyDescent="0.3">
      <c r="A1681" s="6" t="s">
        <v>9</v>
      </c>
      <c r="B1681" s="6" t="s">
        <v>47</v>
      </c>
      <c r="C1681" s="6">
        <v>2018</v>
      </c>
      <c r="D1681" s="6" t="s">
        <v>1</v>
      </c>
      <c r="E1681" s="6" t="s">
        <v>5</v>
      </c>
      <c r="F1681" s="7">
        <v>35</v>
      </c>
    </row>
    <row r="1682" spans="1:6" ht="28" x14ac:dyDescent="0.3">
      <c r="A1682" s="6" t="s">
        <v>9</v>
      </c>
      <c r="B1682" s="6" t="s">
        <v>48</v>
      </c>
      <c r="C1682" s="6">
        <v>2018</v>
      </c>
      <c r="D1682" s="6" t="s">
        <v>1</v>
      </c>
      <c r="E1682" s="6" t="s">
        <v>5</v>
      </c>
      <c r="F1682" s="7">
        <v>1489</v>
      </c>
    </row>
    <row r="1683" spans="1:6" ht="28" x14ac:dyDescent="0.3">
      <c r="A1683" s="6" t="s">
        <v>9</v>
      </c>
      <c r="B1683" s="6" t="s">
        <v>49</v>
      </c>
      <c r="C1683" s="6">
        <v>2018</v>
      </c>
      <c r="D1683" s="6" t="s">
        <v>1</v>
      </c>
      <c r="E1683" s="6" t="s">
        <v>5</v>
      </c>
      <c r="F1683" s="7">
        <v>1424</v>
      </c>
    </row>
    <row r="1684" spans="1:6" ht="28" x14ac:dyDescent="0.3">
      <c r="A1684" s="6" t="s">
        <v>9</v>
      </c>
      <c r="B1684" s="6" t="s">
        <v>50</v>
      </c>
      <c r="C1684" s="6">
        <v>2018</v>
      </c>
      <c r="D1684" s="6" t="s">
        <v>1</v>
      </c>
      <c r="E1684" s="6" t="s">
        <v>5</v>
      </c>
      <c r="F1684" s="7">
        <v>2464</v>
      </c>
    </row>
    <row r="1685" spans="1:6" ht="28" x14ac:dyDescent="0.3">
      <c r="A1685" s="6" t="s">
        <v>9</v>
      </c>
      <c r="B1685" s="6" t="s">
        <v>51</v>
      </c>
      <c r="C1685" s="6">
        <v>2018</v>
      </c>
      <c r="D1685" s="6" t="s">
        <v>1</v>
      </c>
      <c r="E1685" s="6" t="s">
        <v>5</v>
      </c>
      <c r="F1685" s="7">
        <v>2969</v>
      </c>
    </row>
    <row r="1686" spans="1:6" ht="28" x14ac:dyDescent="0.3">
      <c r="A1686" s="6" t="s">
        <v>9</v>
      </c>
      <c r="B1686" s="6" t="s">
        <v>52</v>
      </c>
      <c r="C1686" s="6">
        <v>2018</v>
      </c>
      <c r="D1686" s="6" t="s">
        <v>1</v>
      </c>
      <c r="E1686" s="6" t="s">
        <v>5</v>
      </c>
      <c r="F1686" s="7">
        <v>2998</v>
      </c>
    </row>
    <row r="1687" spans="1:6" ht="28" x14ac:dyDescent="0.3">
      <c r="A1687" s="6" t="s">
        <v>9</v>
      </c>
      <c r="B1687" s="6" t="s">
        <v>53</v>
      </c>
      <c r="C1687" s="6">
        <v>2018</v>
      </c>
      <c r="D1687" s="6" t="s">
        <v>1</v>
      </c>
      <c r="E1687" s="6" t="s">
        <v>5</v>
      </c>
      <c r="F1687" s="7">
        <v>2739</v>
      </c>
    </row>
    <row r="1688" spans="1:6" ht="28" x14ac:dyDescent="0.3">
      <c r="A1688" s="6" t="s">
        <v>9</v>
      </c>
      <c r="B1688" s="6" t="s">
        <v>54</v>
      </c>
      <c r="C1688" s="6">
        <v>2018</v>
      </c>
      <c r="D1688" s="6" t="s">
        <v>1</v>
      </c>
      <c r="E1688" s="6" t="s">
        <v>5</v>
      </c>
      <c r="F1688" s="7">
        <v>1246</v>
      </c>
    </row>
    <row r="1689" spans="1:6" ht="28" x14ac:dyDescent="0.3">
      <c r="A1689" s="6" t="s">
        <v>9</v>
      </c>
      <c r="B1689" s="6" t="s">
        <v>28</v>
      </c>
      <c r="C1689" s="6">
        <v>2018</v>
      </c>
      <c r="D1689" s="6" t="s">
        <v>1</v>
      </c>
      <c r="E1689" s="6" t="s">
        <v>5</v>
      </c>
      <c r="F1689" s="7">
        <v>142</v>
      </c>
    </row>
    <row r="1690" spans="1:6" ht="28" x14ac:dyDescent="0.3">
      <c r="A1690" s="6" t="s">
        <v>9</v>
      </c>
      <c r="B1690" s="6" t="s">
        <v>55</v>
      </c>
      <c r="C1690" s="6">
        <v>2018</v>
      </c>
      <c r="D1690" s="6" t="s">
        <v>1</v>
      </c>
      <c r="E1690" s="6" t="s">
        <v>5</v>
      </c>
      <c r="F1690" s="7">
        <v>1722</v>
      </c>
    </row>
    <row r="1691" spans="1:6" ht="28" x14ac:dyDescent="0.3">
      <c r="A1691" s="6" t="s">
        <v>9</v>
      </c>
      <c r="B1691" s="6" t="s">
        <v>56</v>
      </c>
      <c r="C1691" s="6">
        <v>2018</v>
      </c>
      <c r="D1691" s="6" t="s">
        <v>1</v>
      </c>
      <c r="E1691" s="6" t="s">
        <v>5</v>
      </c>
      <c r="F1691" s="7">
        <v>2985</v>
      </c>
    </row>
    <row r="1692" spans="1:6" ht="28" x14ac:dyDescent="0.3">
      <c r="A1692" s="6" t="s">
        <v>9</v>
      </c>
      <c r="B1692" s="6" t="s">
        <v>57</v>
      </c>
      <c r="C1692" s="6">
        <v>2018</v>
      </c>
      <c r="D1692" s="6" t="s">
        <v>1</v>
      </c>
      <c r="E1692" s="6" t="s">
        <v>5</v>
      </c>
      <c r="F1692" s="7">
        <v>1854</v>
      </c>
    </row>
    <row r="1693" spans="1:6" ht="28" x14ac:dyDescent="0.3">
      <c r="A1693" s="6" t="s">
        <v>9</v>
      </c>
      <c r="B1693" s="6" t="s">
        <v>58</v>
      </c>
      <c r="C1693" s="6">
        <v>2018</v>
      </c>
      <c r="D1693" s="6" t="s">
        <v>1</v>
      </c>
      <c r="E1693" s="6" t="s">
        <v>5</v>
      </c>
      <c r="F1693" s="7">
        <v>2464</v>
      </c>
    </row>
    <row r="1694" spans="1:6" ht="28" x14ac:dyDescent="0.3">
      <c r="A1694" s="6" t="s">
        <v>9</v>
      </c>
      <c r="B1694" s="6" t="s">
        <v>29</v>
      </c>
      <c r="C1694" s="6">
        <v>2018</v>
      </c>
      <c r="D1694" s="6" t="s">
        <v>1</v>
      </c>
      <c r="E1694" s="6" t="s">
        <v>5</v>
      </c>
      <c r="F1694" s="7">
        <v>5</v>
      </c>
    </row>
    <row r="1695" spans="1:6" ht="28" x14ac:dyDescent="0.3">
      <c r="A1695" s="6" t="s">
        <v>9</v>
      </c>
      <c r="B1695" s="6" t="s">
        <v>30</v>
      </c>
      <c r="C1695" s="6">
        <v>2018</v>
      </c>
      <c r="D1695" s="6" t="s">
        <v>1</v>
      </c>
      <c r="E1695" s="6" t="s">
        <v>5</v>
      </c>
      <c r="F1695" s="7">
        <v>35</v>
      </c>
    </row>
    <row r="1696" spans="1:6" ht="28" x14ac:dyDescent="0.3">
      <c r="A1696" s="6" t="s">
        <v>9</v>
      </c>
      <c r="B1696" s="6" t="s">
        <v>31</v>
      </c>
      <c r="C1696" s="6">
        <v>2018</v>
      </c>
      <c r="D1696" s="6" t="s">
        <v>1</v>
      </c>
      <c r="E1696" s="6" t="s">
        <v>5</v>
      </c>
      <c r="F1696" s="7">
        <v>2260</v>
      </c>
    </row>
    <row r="1697" spans="1:6" ht="28" x14ac:dyDescent="0.3">
      <c r="A1697" s="6" t="s">
        <v>9</v>
      </c>
      <c r="B1697" s="6" t="s">
        <v>32</v>
      </c>
      <c r="C1697" s="6">
        <v>2018</v>
      </c>
      <c r="D1697" s="6" t="s">
        <v>1</v>
      </c>
      <c r="E1697" s="6" t="s">
        <v>5</v>
      </c>
      <c r="F1697" s="7">
        <v>13</v>
      </c>
    </row>
    <row r="1698" spans="1:6" ht="28" x14ac:dyDescent="0.3">
      <c r="A1698" s="6" t="s">
        <v>9</v>
      </c>
      <c r="B1698" s="6" t="s">
        <v>33</v>
      </c>
      <c r="C1698" s="6">
        <v>2018</v>
      </c>
      <c r="D1698" s="6" t="s">
        <v>1</v>
      </c>
      <c r="E1698" s="6" t="s">
        <v>5</v>
      </c>
      <c r="F1698" s="7">
        <v>13</v>
      </c>
    </row>
    <row r="1699" spans="1:6" ht="28" x14ac:dyDescent="0.3">
      <c r="A1699" s="6" t="s">
        <v>9</v>
      </c>
      <c r="B1699" s="6" t="s">
        <v>34</v>
      </c>
      <c r="C1699" s="6">
        <v>2018</v>
      </c>
      <c r="D1699" s="6" t="s">
        <v>1</v>
      </c>
      <c r="E1699" s="6" t="s">
        <v>5</v>
      </c>
      <c r="F1699" s="7">
        <v>163</v>
      </c>
    </row>
    <row r="1700" spans="1:6" ht="28" x14ac:dyDescent="0.3">
      <c r="A1700" s="6" t="s">
        <v>10</v>
      </c>
      <c r="B1700" s="6" t="s">
        <v>59</v>
      </c>
      <c r="C1700" s="6">
        <v>2018</v>
      </c>
      <c r="D1700" s="6" t="s">
        <v>1</v>
      </c>
      <c r="E1700" s="6" t="s">
        <v>5</v>
      </c>
      <c r="F1700" s="7">
        <v>404</v>
      </c>
    </row>
    <row r="1701" spans="1:6" ht="28" x14ac:dyDescent="0.3">
      <c r="A1701" s="6" t="s">
        <v>10</v>
      </c>
      <c r="B1701" s="6" t="s">
        <v>60</v>
      </c>
      <c r="C1701" s="6">
        <v>2018</v>
      </c>
      <c r="D1701" s="6" t="s">
        <v>1</v>
      </c>
      <c r="E1701" s="6" t="s">
        <v>5</v>
      </c>
      <c r="F1701" s="7">
        <v>5</v>
      </c>
    </row>
    <row r="1702" spans="1:6" ht="28" x14ac:dyDescent="0.3">
      <c r="A1702" s="6" t="s">
        <v>10</v>
      </c>
      <c r="B1702" s="6" t="s">
        <v>61</v>
      </c>
      <c r="C1702" s="6">
        <v>2018</v>
      </c>
      <c r="D1702" s="6" t="s">
        <v>1</v>
      </c>
      <c r="E1702" s="6" t="s">
        <v>5</v>
      </c>
      <c r="F1702" s="7">
        <v>53</v>
      </c>
    </row>
    <row r="1703" spans="1:6" ht="28" x14ac:dyDescent="0.3">
      <c r="A1703" s="6" t="s">
        <v>10</v>
      </c>
      <c r="B1703" s="6" t="s">
        <v>62</v>
      </c>
      <c r="C1703" s="6">
        <v>2018</v>
      </c>
      <c r="D1703" s="6" t="s">
        <v>1</v>
      </c>
      <c r="E1703" s="6" t="s">
        <v>5</v>
      </c>
      <c r="F1703" s="7">
        <v>14</v>
      </c>
    </row>
    <row r="1704" spans="1:6" ht="28" x14ac:dyDescent="0.3">
      <c r="A1704" s="6" t="s">
        <v>10</v>
      </c>
      <c r="B1704" s="6" t="s">
        <v>63</v>
      </c>
      <c r="C1704" s="6">
        <v>2018</v>
      </c>
      <c r="D1704" s="6" t="s">
        <v>1</v>
      </c>
      <c r="E1704" s="6" t="s">
        <v>5</v>
      </c>
      <c r="F1704" s="7">
        <v>165</v>
      </c>
    </row>
    <row r="1705" spans="1:6" ht="28" x14ac:dyDescent="0.3">
      <c r="A1705" s="6" t="s">
        <v>10</v>
      </c>
      <c r="B1705" s="6" t="s">
        <v>64</v>
      </c>
      <c r="C1705" s="6">
        <v>2018</v>
      </c>
      <c r="D1705" s="6" t="s">
        <v>1</v>
      </c>
      <c r="E1705" s="6" t="s">
        <v>5</v>
      </c>
      <c r="F1705" s="7">
        <v>10</v>
      </c>
    </row>
    <row r="1706" spans="1:6" ht="28" x14ac:dyDescent="0.3">
      <c r="A1706" s="6" t="s">
        <v>10</v>
      </c>
      <c r="B1706" s="6" t="s">
        <v>65</v>
      </c>
      <c r="C1706" s="6">
        <v>2018</v>
      </c>
      <c r="D1706" s="6" t="s">
        <v>1</v>
      </c>
      <c r="E1706" s="6" t="s">
        <v>5</v>
      </c>
      <c r="F1706" s="7">
        <v>5</v>
      </c>
    </row>
    <row r="1707" spans="1:6" ht="28" x14ac:dyDescent="0.3">
      <c r="A1707" s="6" t="s">
        <v>10</v>
      </c>
      <c r="B1707" s="6" t="s">
        <v>66</v>
      </c>
      <c r="C1707" s="6">
        <v>2018</v>
      </c>
      <c r="D1707" s="6" t="s">
        <v>1</v>
      </c>
      <c r="E1707" s="6" t="s">
        <v>5</v>
      </c>
      <c r="F1707" s="7">
        <v>43</v>
      </c>
    </row>
    <row r="1708" spans="1:6" ht="28" x14ac:dyDescent="0.3">
      <c r="A1708" s="6" t="s">
        <v>11</v>
      </c>
      <c r="B1708" s="6" t="s">
        <v>67</v>
      </c>
      <c r="C1708" s="6">
        <v>2018</v>
      </c>
      <c r="D1708" s="6" t="s">
        <v>1</v>
      </c>
      <c r="E1708" s="6" t="s">
        <v>5</v>
      </c>
      <c r="F1708" s="7">
        <v>39</v>
      </c>
    </row>
    <row r="1709" spans="1:6" ht="28" x14ac:dyDescent="0.3">
      <c r="A1709" s="6" t="s">
        <v>11</v>
      </c>
      <c r="B1709" s="6" t="s">
        <v>76</v>
      </c>
      <c r="C1709" s="6">
        <v>2018</v>
      </c>
      <c r="D1709" s="6" t="s">
        <v>1</v>
      </c>
      <c r="E1709" s="6" t="s">
        <v>5</v>
      </c>
      <c r="F1709" s="7">
        <v>98</v>
      </c>
    </row>
    <row r="1710" spans="1:6" ht="28" x14ac:dyDescent="0.3">
      <c r="A1710" s="6" t="s">
        <v>11</v>
      </c>
      <c r="B1710" s="6" t="s">
        <v>77</v>
      </c>
      <c r="C1710" s="6">
        <v>2018</v>
      </c>
      <c r="D1710" s="6" t="s">
        <v>1</v>
      </c>
      <c r="E1710" s="6" t="s">
        <v>5</v>
      </c>
      <c r="F1710" s="7">
        <v>60</v>
      </c>
    </row>
    <row r="1711" spans="1:6" ht="28" x14ac:dyDescent="0.3">
      <c r="A1711" s="6" t="s">
        <v>11</v>
      </c>
      <c r="B1711" s="6" t="s">
        <v>78</v>
      </c>
      <c r="C1711" s="6">
        <v>2018</v>
      </c>
      <c r="D1711" s="6" t="s">
        <v>1</v>
      </c>
      <c r="E1711" s="6" t="s">
        <v>5</v>
      </c>
      <c r="F1711" s="7">
        <v>24</v>
      </c>
    </row>
    <row r="1712" spans="1:6" ht="28" x14ac:dyDescent="0.3">
      <c r="A1712" s="6" t="s">
        <v>11</v>
      </c>
      <c r="B1712" s="6" t="s">
        <v>79</v>
      </c>
      <c r="C1712" s="6">
        <v>2018</v>
      </c>
      <c r="D1712" s="6" t="s">
        <v>1</v>
      </c>
      <c r="E1712" s="6" t="s">
        <v>5</v>
      </c>
      <c r="F1712" s="7">
        <v>6</v>
      </c>
    </row>
    <row r="1713" spans="1:6" ht="28" x14ac:dyDescent="0.3">
      <c r="A1713" s="6" t="s">
        <v>11</v>
      </c>
      <c r="B1713" s="6" t="s">
        <v>80</v>
      </c>
      <c r="C1713" s="6">
        <v>2018</v>
      </c>
      <c r="D1713" s="6" t="s">
        <v>1</v>
      </c>
      <c r="E1713" s="6" t="s">
        <v>5</v>
      </c>
      <c r="F1713" s="7">
        <v>39</v>
      </c>
    </row>
    <row r="1714" spans="1:6" ht="28" x14ac:dyDescent="0.3">
      <c r="A1714" s="6" t="s">
        <v>11</v>
      </c>
      <c r="B1714" s="6" t="s">
        <v>68</v>
      </c>
      <c r="C1714" s="6">
        <v>2018</v>
      </c>
      <c r="D1714" s="6" t="s">
        <v>1</v>
      </c>
      <c r="E1714" s="6" t="s">
        <v>5</v>
      </c>
      <c r="F1714" s="7">
        <v>87</v>
      </c>
    </row>
    <row r="1715" spans="1:6" ht="28" x14ac:dyDescent="0.3">
      <c r="A1715" s="6" t="s">
        <v>11</v>
      </c>
      <c r="B1715" s="6" t="s">
        <v>69</v>
      </c>
      <c r="C1715" s="6">
        <v>2018</v>
      </c>
      <c r="D1715" s="6" t="s">
        <v>1</v>
      </c>
      <c r="E1715" s="6" t="s">
        <v>5</v>
      </c>
      <c r="F1715" s="7">
        <v>909</v>
      </c>
    </row>
    <row r="1716" spans="1:6" ht="28" x14ac:dyDescent="0.3">
      <c r="A1716" s="6" t="s">
        <v>11</v>
      </c>
      <c r="B1716" s="6" t="s">
        <v>70</v>
      </c>
      <c r="C1716" s="6">
        <v>2018</v>
      </c>
      <c r="D1716" s="6" t="s">
        <v>1</v>
      </c>
      <c r="E1716" s="6" t="s">
        <v>5</v>
      </c>
      <c r="F1716" s="7">
        <v>44</v>
      </c>
    </row>
    <row r="1717" spans="1:6" ht="28" x14ac:dyDescent="0.3">
      <c r="A1717" s="6" t="s">
        <v>11</v>
      </c>
      <c r="B1717" s="6" t="s">
        <v>71</v>
      </c>
      <c r="C1717" s="6">
        <v>2018</v>
      </c>
      <c r="D1717" s="6" t="s">
        <v>1</v>
      </c>
      <c r="E1717" s="6" t="s">
        <v>5</v>
      </c>
      <c r="F1717" s="7">
        <v>7</v>
      </c>
    </row>
    <row r="1718" spans="1:6" ht="28" x14ac:dyDescent="0.3">
      <c r="A1718" s="6" t="s">
        <v>11</v>
      </c>
      <c r="B1718" s="6" t="s">
        <v>72</v>
      </c>
      <c r="C1718" s="6">
        <v>2018</v>
      </c>
      <c r="D1718" s="6" t="s">
        <v>1</v>
      </c>
      <c r="E1718" s="6" t="s">
        <v>5</v>
      </c>
      <c r="F1718" s="7">
        <v>282</v>
      </c>
    </row>
    <row r="1719" spans="1:6" ht="28" x14ac:dyDescent="0.3">
      <c r="A1719" s="6" t="s">
        <v>11</v>
      </c>
      <c r="B1719" s="6" t="s">
        <v>73</v>
      </c>
      <c r="C1719" s="6">
        <v>2018</v>
      </c>
      <c r="D1719" s="6" t="s">
        <v>1</v>
      </c>
      <c r="E1719" s="6" t="s">
        <v>5</v>
      </c>
      <c r="F1719" s="7">
        <v>77</v>
      </c>
    </row>
    <row r="1720" spans="1:6" ht="28" x14ac:dyDescent="0.3">
      <c r="A1720" s="6" t="s">
        <v>11</v>
      </c>
      <c r="B1720" s="6" t="s">
        <v>74</v>
      </c>
      <c r="C1720" s="6">
        <v>2018</v>
      </c>
      <c r="D1720" s="6" t="s">
        <v>1</v>
      </c>
      <c r="E1720" s="6" t="s">
        <v>5</v>
      </c>
      <c r="F1720" s="7">
        <v>19</v>
      </c>
    </row>
    <row r="1721" spans="1:6" ht="28" x14ac:dyDescent="0.3">
      <c r="A1721" s="6" t="s">
        <v>11</v>
      </c>
      <c r="B1721" s="6" t="s">
        <v>75</v>
      </c>
      <c r="C1721" s="6">
        <v>2018</v>
      </c>
      <c r="D1721" s="6" t="s">
        <v>1</v>
      </c>
      <c r="E1721" s="6" t="s">
        <v>5</v>
      </c>
      <c r="F1721" s="7">
        <v>1883</v>
      </c>
    </row>
    <row r="1722" spans="1:6" ht="28" x14ac:dyDescent="0.3">
      <c r="A1722" s="6" t="s">
        <v>12</v>
      </c>
      <c r="B1722" s="6" t="s">
        <v>81</v>
      </c>
      <c r="C1722" s="6">
        <v>2018</v>
      </c>
      <c r="D1722" s="6" t="s">
        <v>1</v>
      </c>
      <c r="E1722" s="6" t="s">
        <v>5</v>
      </c>
      <c r="F1722" s="7">
        <v>59</v>
      </c>
    </row>
    <row r="1723" spans="1:6" ht="28" x14ac:dyDescent="0.3">
      <c r="A1723" s="6" t="s">
        <v>12</v>
      </c>
      <c r="B1723" s="6" t="s">
        <v>82</v>
      </c>
      <c r="C1723" s="6">
        <v>2018</v>
      </c>
      <c r="D1723" s="6" t="s">
        <v>1</v>
      </c>
      <c r="E1723" s="6" t="s">
        <v>5</v>
      </c>
      <c r="F1723" s="7">
        <v>212</v>
      </c>
    </row>
    <row r="1724" spans="1:6" ht="28" x14ac:dyDescent="0.3">
      <c r="A1724" s="6" t="s">
        <v>12</v>
      </c>
      <c r="B1724" s="6" t="s">
        <v>83</v>
      </c>
      <c r="C1724" s="6">
        <v>2018</v>
      </c>
      <c r="D1724" s="6" t="s">
        <v>1</v>
      </c>
      <c r="E1724" s="6" t="s">
        <v>5</v>
      </c>
      <c r="F1724" s="7">
        <v>91</v>
      </c>
    </row>
    <row r="1725" spans="1:6" ht="28" x14ac:dyDescent="0.3">
      <c r="A1725" s="6" t="s">
        <v>12</v>
      </c>
      <c r="B1725" s="6" t="s">
        <v>84</v>
      </c>
      <c r="C1725" s="6">
        <v>2018</v>
      </c>
      <c r="D1725" s="6" t="s">
        <v>1</v>
      </c>
      <c r="E1725" s="6" t="s">
        <v>5</v>
      </c>
      <c r="F1725" s="7">
        <v>16</v>
      </c>
    </row>
    <row r="1726" spans="1:6" ht="28" x14ac:dyDescent="0.3">
      <c r="A1726" s="6" t="s">
        <v>12</v>
      </c>
      <c r="B1726" s="6" t="s">
        <v>85</v>
      </c>
      <c r="C1726" s="6">
        <v>2018</v>
      </c>
      <c r="D1726" s="6" t="s">
        <v>1</v>
      </c>
      <c r="E1726" s="6" t="s">
        <v>5</v>
      </c>
      <c r="F1726" s="7">
        <v>598</v>
      </c>
    </row>
    <row r="1727" spans="1:6" ht="28" x14ac:dyDescent="0.3">
      <c r="A1727" s="6" t="s">
        <v>12</v>
      </c>
      <c r="B1727" s="6" t="s">
        <v>86</v>
      </c>
      <c r="C1727" s="6">
        <v>2018</v>
      </c>
      <c r="D1727" s="6" t="s">
        <v>1</v>
      </c>
      <c r="E1727" s="6" t="s">
        <v>5</v>
      </c>
      <c r="F1727" s="7">
        <v>19</v>
      </c>
    </row>
    <row r="1728" spans="1:6" ht="28" x14ac:dyDescent="0.3">
      <c r="A1728" s="6" t="s">
        <v>12</v>
      </c>
      <c r="B1728" s="6" t="s">
        <v>87</v>
      </c>
      <c r="C1728" s="6">
        <v>2018</v>
      </c>
      <c r="D1728" s="6" t="s">
        <v>1</v>
      </c>
      <c r="E1728" s="6" t="s">
        <v>5</v>
      </c>
      <c r="F1728" s="7">
        <v>120</v>
      </c>
    </row>
    <row r="1729" spans="1:6" ht="28" x14ac:dyDescent="0.3">
      <c r="A1729" s="6" t="s">
        <v>12</v>
      </c>
      <c r="B1729" s="6" t="s">
        <v>88</v>
      </c>
      <c r="C1729" s="6">
        <v>2018</v>
      </c>
      <c r="D1729" s="6" t="s">
        <v>1</v>
      </c>
      <c r="E1729" s="6" t="s">
        <v>5</v>
      </c>
      <c r="F1729" s="7">
        <v>136</v>
      </c>
    </row>
    <row r="1730" spans="1:6" ht="28" x14ac:dyDescent="0.3">
      <c r="A1730" s="6" t="s">
        <v>13</v>
      </c>
      <c r="B1730" s="6" t="s">
        <v>89</v>
      </c>
      <c r="C1730" s="6">
        <v>2018</v>
      </c>
      <c r="D1730" s="6" t="s">
        <v>1</v>
      </c>
      <c r="E1730" s="6" t="s">
        <v>5</v>
      </c>
      <c r="F1730" s="7">
        <v>6</v>
      </c>
    </row>
    <row r="1731" spans="1:6" ht="28" x14ac:dyDescent="0.3">
      <c r="A1731" s="6" t="s">
        <v>13</v>
      </c>
      <c r="B1731" s="6" t="s">
        <v>98</v>
      </c>
      <c r="C1731" s="6">
        <v>2018</v>
      </c>
      <c r="D1731" s="6" t="s">
        <v>1</v>
      </c>
      <c r="E1731" s="6" t="s">
        <v>5</v>
      </c>
      <c r="F1731" s="7">
        <v>10</v>
      </c>
    </row>
    <row r="1732" spans="1:6" ht="28" x14ac:dyDescent="0.3">
      <c r="A1732" s="6" t="s">
        <v>13</v>
      </c>
      <c r="B1732" s="6" t="s">
        <v>99</v>
      </c>
      <c r="C1732" s="6">
        <v>2018</v>
      </c>
      <c r="D1732" s="6" t="s">
        <v>1</v>
      </c>
      <c r="E1732" s="6" t="s">
        <v>5</v>
      </c>
      <c r="F1732" s="7">
        <v>18</v>
      </c>
    </row>
    <row r="1733" spans="1:6" ht="28" x14ac:dyDescent="0.3">
      <c r="A1733" s="6" t="s">
        <v>13</v>
      </c>
      <c r="B1733" s="6" t="s">
        <v>90</v>
      </c>
      <c r="C1733" s="6">
        <v>2018</v>
      </c>
      <c r="D1733" s="6" t="s">
        <v>1</v>
      </c>
      <c r="E1733" s="6" t="s">
        <v>5</v>
      </c>
      <c r="F1733" s="7">
        <v>87</v>
      </c>
    </row>
    <row r="1734" spans="1:6" ht="28" x14ac:dyDescent="0.3">
      <c r="A1734" s="6" t="s">
        <v>13</v>
      </c>
      <c r="B1734" s="6" t="s">
        <v>91</v>
      </c>
      <c r="C1734" s="6">
        <v>2018</v>
      </c>
      <c r="D1734" s="6" t="s">
        <v>1</v>
      </c>
      <c r="E1734" s="6" t="s">
        <v>5</v>
      </c>
      <c r="F1734" s="7">
        <v>18</v>
      </c>
    </row>
    <row r="1735" spans="1:6" ht="28" x14ac:dyDescent="0.3">
      <c r="A1735" s="6" t="s">
        <v>13</v>
      </c>
      <c r="B1735" s="6" t="s">
        <v>92</v>
      </c>
      <c r="C1735" s="6">
        <v>2018</v>
      </c>
      <c r="D1735" s="6" t="s">
        <v>1</v>
      </c>
      <c r="E1735" s="6" t="s">
        <v>5</v>
      </c>
      <c r="F1735" s="7">
        <v>22</v>
      </c>
    </row>
    <row r="1736" spans="1:6" ht="28" x14ac:dyDescent="0.3">
      <c r="A1736" s="6" t="s">
        <v>13</v>
      </c>
      <c r="B1736" s="6" t="s">
        <v>93</v>
      </c>
      <c r="C1736" s="6">
        <v>2018</v>
      </c>
      <c r="D1736" s="6" t="s">
        <v>1</v>
      </c>
      <c r="E1736" s="6" t="s">
        <v>5</v>
      </c>
      <c r="F1736" s="7">
        <v>10</v>
      </c>
    </row>
    <row r="1737" spans="1:6" ht="28" x14ac:dyDescent="0.3">
      <c r="A1737" s="6" t="s">
        <v>13</v>
      </c>
      <c r="B1737" s="6" t="s">
        <v>94</v>
      </c>
      <c r="C1737" s="6">
        <v>2018</v>
      </c>
      <c r="D1737" s="6" t="s">
        <v>1</v>
      </c>
      <c r="E1737" s="6" t="s">
        <v>5</v>
      </c>
      <c r="F1737" s="7">
        <v>5</v>
      </c>
    </row>
    <row r="1738" spans="1:6" ht="28" x14ac:dyDescent="0.3">
      <c r="A1738" s="6" t="s">
        <v>13</v>
      </c>
      <c r="B1738" s="6" t="s">
        <v>95</v>
      </c>
      <c r="C1738" s="6">
        <v>2018</v>
      </c>
      <c r="D1738" s="6" t="s">
        <v>1</v>
      </c>
      <c r="E1738" s="6" t="s">
        <v>5</v>
      </c>
      <c r="F1738" s="7">
        <v>5</v>
      </c>
    </row>
    <row r="1739" spans="1:6" ht="28" x14ac:dyDescent="0.3">
      <c r="A1739" s="6" t="s">
        <v>13</v>
      </c>
      <c r="B1739" s="6" t="s">
        <v>96</v>
      </c>
      <c r="C1739" s="6">
        <v>2018</v>
      </c>
      <c r="D1739" s="6" t="s">
        <v>1</v>
      </c>
      <c r="E1739" s="6" t="s">
        <v>5</v>
      </c>
      <c r="F1739" s="7">
        <v>64</v>
      </c>
    </row>
    <row r="1740" spans="1:6" ht="28" x14ac:dyDescent="0.3">
      <c r="A1740" s="6" t="s">
        <v>13</v>
      </c>
      <c r="B1740" s="6" t="s">
        <v>97</v>
      </c>
      <c r="C1740" s="6">
        <v>2018</v>
      </c>
      <c r="D1740" s="6" t="s">
        <v>1</v>
      </c>
      <c r="E1740" s="6" t="s">
        <v>5</v>
      </c>
      <c r="F1740" s="7">
        <v>47</v>
      </c>
    </row>
    <row r="1741" spans="1:6" ht="28" x14ac:dyDescent="0.3">
      <c r="A1741" s="6" t="s">
        <v>14</v>
      </c>
      <c r="B1741" s="6" t="s">
        <v>100</v>
      </c>
      <c r="C1741" s="6">
        <v>2018</v>
      </c>
      <c r="D1741" s="6" t="s">
        <v>1</v>
      </c>
      <c r="E1741" s="6" t="s">
        <v>5</v>
      </c>
      <c r="F1741" s="7">
        <v>108</v>
      </c>
    </row>
    <row r="1742" spans="1:6" ht="28" x14ac:dyDescent="0.3">
      <c r="A1742" s="6" t="s">
        <v>14</v>
      </c>
      <c r="B1742" s="6" t="s">
        <v>101</v>
      </c>
      <c r="C1742" s="6">
        <v>2018</v>
      </c>
      <c r="D1742" s="6" t="s">
        <v>1</v>
      </c>
      <c r="E1742" s="6" t="s">
        <v>5</v>
      </c>
      <c r="F1742" s="7">
        <v>21</v>
      </c>
    </row>
    <row r="1743" spans="1:6" ht="28" x14ac:dyDescent="0.3">
      <c r="A1743" s="6" t="s">
        <v>14</v>
      </c>
      <c r="B1743" s="6" t="s">
        <v>102</v>
      </c>
      <c r="C1743" s="6">
        <v>2018</v>
      </c>
      <c r="D1743" s="6" t="s">
        <v>1</v>
      </c>
      <c r="E1743" s="6" t="s">
        <v>5</v>
      </c>
      <c r="F1743" s="7">
        <v>723</v>
      </c>
    </row>
    <row r="1744" spans="1:6" ht="28" x14ac:dyDescent="0.3">
      <c r="A1744" s="6" t="s">
        <v>14</v>
      </c>
      <c r="B1744" s="6" t="s">
        <v>103</v>
      </c>
      <c r="C1744" s="6">
        <v>2018</v>
      </c>
      <c r="D1744" s="6" t="s">
        <v>1</v>
      </c>
      <c r="E1744" s="6" t="s">
        <v>5</v>
      </c>
      <c r="F1744" s="7">
        <v>57</v>
      </c>
    </row>
    <row r="1745" spans="1:6" ht="28" x14ac:dyDescent="0.3">
      <c r="A1745" s="6" t="s">
        <v>14</v>
      </c>
      <c r="B1745" s="6" t="s">
        <v>104</v>
      </c>
      <c r="C1745" s="6">
        <v>2018</v>
      </c>
      <c r="D1745" s="6" t="s">
        <v>1</v>
      </c>
      <c r="E1745" s="6" t="s">
        <v>5</v>
      </c>
      <c r="F1745" s="7">
        <v>216</v>
      </c>
    </row>
    <row r="1746" spans="1:6" ht="28" x14ac:dyDescent="0.3">
      <c r="A1746" s="6" t="s">
        <v>14</v>
      </c>
      <c r="B1746" s="6" t="s">
        <v>105</v>
      </c>
      <c r="C1746" s="6">
        <v>2018</v>
      </c>
      <c r="D1746" s="6" t="s">
        <v>1</v>
      </c>
      <c r="E1746" s="6" t="s">
        <v>5</v>
      </c>
      <c r="F1746" s="7">
        <v>220</v>
      </c>
    </row>
    <row r="1747" spans="1:6" ht="28" x14ac:dyDescent="0.3">
      <c r="A1747" s="6" t="s">
        <v>15</v>
      </c>
      <c r="B1747" s="6" t="s">
        <v>106</v>
      </c>
      <c r="C1747" s="6">
        <v>2018</v>
      </c>
      <c r="D1747" s="6" t="s">
        <v>1</v>
      </c>
      <c r="E1747" s="6" t="s">
        <v>5</v>
      </c>
      <c r="F1747" s="7">
        <v>75</v>
      </c>
    </row>
    <row r="1748" spans="1:6" ht="28" x14ac:dyDescent="0.3">
      <c r="A1748" s="6" t="s">
        <v>15</v>
      </c>
      <c r="B1748" s="6" t="s">
        <v>107</v>
      </c>
      <c r="C1748" s="6">
        <v>2018</v>
      </c>
      <c r="D1748" s="6" t="s">
        <v>1</v>
      </c>
      <c r="E1748" s="6" t="s">
        <v>5</v>
      </c>
      <c r="F1748" s="7">
        <v>6</v>
      </c>
    </row>
    <row r="1749" spans="1:6" ht="28" x14ac:dyDescent="0.3">
      <c r="A1749" s="6" t="s">
        <v>15</v>
      </c>
      <c r="B1749" s="6" t="s">
        <v>108</v>
      </c>
      <c r="C1749" s="6">
        <v>2018</v>
      </c>
      <c r="D1749" s="6" t="s">
        <v>1</v>
      </c>
      <c r="E1749" s="6" t="s">
        <v>5</v>
      </c>
      <c r="F1749" s="7">
        <v>49</v>
      </c>
    </row>
    <row r="1750" spans="1:6" ht="28" x14ac:dyDescent="0.3">
      <c r="A1750" s="6" t="s">
        <v>6</v>
      </c>
      <c r="B1750" s="6" t="s">
        <v>17</v>
      </c>
      <c r="C1750" s="6">
        <v>2018</v>
      </c>
      <c r="D1750" s="6" t="s">
        <v>1</v>
      </c>
      <c r="E1750" s="6" t="s">
        <v>4</v>
      </c>
      <c r="F1750" s="7">
        <v>7</v>
      </c>
    </row>
    <row r="1751" spans="1:6" ht="28" x14ac:dyDescent="0.3">
      <c r="A1751" s="6" t="s">
        <v>6</v>
      </c>
      <c r="B1751" s="6" t="s">
        <v>18</v>
      </c>
      <c r="C1751" s="6">
        <v>2018</v>
      </c>
      <c r="D1751" s="6" t="s">
        <v>1</v>
      </c>
      <c r="E1751" s="6" t="s">
        <v>4</v>
      </c>
      <c r="F1751" s="7">
        <v>1687</v>
      </c>
    </row>
    <row r="1752" spans="1:6" ht="28" x14ac:dyDescent="0.3">
      <c r="A1752" s="6" t="s">
        <v>6</v>
      </c>
      <c r="B1752" s="6" t="s">
        <v>19</v>
      </c>
      <c r="C1752" s="6">
        <v>2018</v>
      </c>
      <c r="D1752" s="6" t="s">
        <v>1</v>
      </c>
      <c r="E1752" s="6" t="s">
        <v>4</v>
      </c>
      <c r="F1752" s="7">
        <v>2501</v>
      </c>
    </row>
    <row r="1753" spans="1:6" ht="28" x14ac:dyDescent="0.3">
      <c r="A1753" s="6" t="s">
        <v>6</v>
      </c>
      <c r="B1753" s="6" t="s">
        <v>20</v>
      </c>
      <c r="C1753" s="6">
        <v>2018</v>
      </c>
      <c r="D1753" s="6" t="s">
        <v>1</v>
      </c>
      <c r="E1753" s="6" t="s">
        <v>4</v>
      </c>
      <c r="F1753" s="7">
        <v>4588</v>
      </c>
    </row>
    <row r="1754" spans="1:6" ht="28" x14ac:dyDescent="0.3">
      <c r="A1754" s="6" t="s">
        <v>7</v>
      </c>
      <c r="B1754" s="6" t="s">
        <v>21</v>
      </c>
      <c r="C1754" s="6">
        <v>2018</v>
      </c>
      <c r="D1754" s="6" t="s">
        <v>1</v>
      </c>
      <c r="E1754" s="6" t="s">
        <v>4</v>
      </c>
      <c r="F1754" s="7">
        <v>103</v>
      </c>
    </row>
    <row r="1755" spans="1:6" ht="28" x14ac:dyDescent="0.3">
      <c r="A1755" s="6" t="s">
        <v>7</v>
      </c>
      <c r="B1755" s="6" t="s">
        <v>22</v>
      </c>
      <c r="C1755" s="6">
        <v>2018</v>
      </c>
      <c r="D1755" s="6" t="s">
        <v>1</v>
      </c>
      <c r="E1755" s="6" t="s">
        <v>4</v>
      </c>
      <c r="F1755" s="7">
        <v>5</v>
      </c>
    </row>
    <row r="1756" spans="1:6" ht="28" x14ac:dyDescent="0.3">
      <c r="A1756" s="6" t="s">
        <v>7</v>
      </c>
      <c r="B1756" s="6" t="s">
        <v>23</v>
      </c>
      <c r="C1756" s="6">
        <v>2018</v>
      </c>
      <c r="D1756" s="6" t="s">
        <v>1</v>
      </c>
      <c r="E1756" s="6" t="s">
        <v>4</v>
      </c>
      <c r="F1756" s="7">
        <v>5</v>
      </c>
    </row>
    <row r="1757" spans="1:6" ht="28" x14ac:dyDescent="0.3">
      <c r="A1757" s="6" t="s">
        <v>8</v>
      </c>
      <c r="B1757" s="6" t="s">
        <v>24</v>
      </c>
      <c r="C1757" s="6">
        <v>2018</v>
      </c>
      <c r="D1757" s="6" t="s">
        <v>1</v>
      </c>
      <c r="E1757" s="6" t="s">
        <v>4</v>
      </c>
      <c r="F1757" s="7">
        <v>604</v>
      </c>
    </row>
    <row r="1758" spans="1:6" ht="28" x14ac:dyDescent="0.3">
      <c r="A1758" s="6" t="s">
        <v>8</v>
      </c>
      <c r="B1758" s="6" t="s">
        <v>25</v>
      </c>
      <c r="C1758" s="6">
        <v>2018</v>
      </c>
      <c r="D1758" s="6" t="s">
        <v>1</v>
      </c>
      <c r="E1758" s="6" t="s">
        <v>4</v>
      </c>
      <c r="F1758" s="7">
        <v>86</v>
      </c>
    </row>
    <row r="1759" spans="1:6" ht="28" x14ac:dyDescent="0.3">
      <c r="A1759" s="6" t="s">
        <v>9</v>
      </c>
      <c r="B1759" s="6" t="s">
        <v>26</v>
      </c>
      <c r="C1759" s="6">
        <v>2018</v>
      </c>
      <c r="D1759" s="6" t="s">
        <v>1</v>
      </c>
      <c r="E1759" s="6" t="s">
        <v>4</v>
      </c>
      <c r="F1759" s="7">
        <v>6</v>
      </c>
    </row>
    <row r="1760" spans="1:6" ht="28" x14ac:dyDescent="0.3">
      <c r="A1760" s="6" t="s">
        <v>9</v>
      </c>
      <c r="B1760" s="6" t="s">
        <v>35</v>
      </c>
      <c r="C1760" s="6">
        <v>2018</v>
      </c>
      <c r="D1760" s="6" t="s">
        <v>1</v>
      </c>
      <c r="E1760" s="6" t="s">
        <v>4</v>
      </c>
      <c r="F1760" s="7">
        <v>6</v>
      </c>
    </row>
    <row r="1761" spans="1:6" ht="28" x14ac:dyDescent="0.3">
      <c r="A1761" s="6" t="s">
        <v>9</v>
      </c>
      <c r="B1761" s="6" t="s">
        <v>36</v>
      </c>
      <c r="C1761" s="6">
        <v>2018</v>
      </c>
      <c r="D1761" s="6" t="s">
        <v>1</v>
      </c>
      <c r="E1761" s="6" t="s">
        <v>4</v>
      </c>
      <c r="F1761" s="7">
        <v>8</v>
      </c>
    </row>
    <row r="1762" spans="1:6" ht="28" x14ac:dyDescent="0.3">
      <c r="A1762" s="6" t="s">
        <v>9</v>
      </c>
      <c r="B1762" s="6" t="s">
        <v>37</v>
      </c>
      <c r="C1762" s="6">
        <v>2018</v>
      </c>
      <c r="D1762" s="6" t="s">
        <v>1</v>
      </c>
      <c r="E1762" s="6" t="s">
        <v>4</v>
      </c>
      <c r="F1762" s="7">
        <v>5</v>
      </c>
    </row>
    <row r="1763" spans="1:6" ht="28" x14ac:dyDescent="0.3">
      <c r="A1763" s="6" t="s">
        <v>9</v>
      </c>
      <c r="B1763" s="6" t="s">
        <v>38</v>
      </c>
      <c r="C1763" s="6">
        <v>2018</v>
      </c>
      <c r="D1763" s="6" t="s">
        <v>1</v>
      </c>
      <c r="E1763" s="6" t="s">
        <v>4</v>
      </c>
      <c r="F1763" s="7">
        <v>231</v>
      </c>
    </row>
    <row r="1764" spans="1:6" ht="28" x14ac:dyDescent="0.3">
      <c r="A1764" s="6" t="s">
        <v>9</v>
      </c>
      <c r="B1764" s="6" t="s">
        <v>39</v>
      </c>
      <c r="C1764" s="6">
        <v>2018</v>
      </c>
      <c r="D1764" s="6" t="s">
        <v>1</v>
      </c>
      <c r="E1764" s="6" t="s">
        <v>4</v>
      </c>
      <c r="F1764" s="7">
        <v>6</v>
      </c>
    </row>
    <row r="1765" spans="1:6" ht="28" x14ac:dyDescent="0.3">
      <c r="A1765" s="6" t="s">
        <v>9</v>
      </c>
      <c r="B1765" s="6" t="s">
        <v>40</v>
      </c>
      <c r="C1765" s="6">
        <v>2018</v>
      </c>
      <c r="D1765" s="6" t="s">
        <v>1</v>
      </c>
      <c r="E1765" s="6" t="s">
        <v>4</v>
      </c>
      <c r="F1765" s="7">
        <v>6</v>
      </c>
    </row>
    <row r="1766" spans="1:6" ht="28" x14ac:dyDescent="0.3">
      <c r="A1766" s="6" t="s">
        <v>9</v>
      </c>
      <c r="B1766" s="6" t="s">
        <v>41</v>
      </c>
      <c r="C1766" s="6">
        <v>2018</v>
      </c>
      <c r="D1766" s="6" t="s">
        <v>1</v>
      </c>
      <c r="E1766" s="6" t="s">
        <v>4</v>
      </c>
      <c r="F1766" s="7">
        <v>493</v>
      </c>
    </row>
    <row r="1767" spans="1:6" ht="28" x14ac:dyDescent="0.3">
      <c r="A1767" s="6" t="s">
        <v>9</v>
      </c>
      <c r="B1767" s="6" t="s">
        <v>42</v>
      </c>
      <c r="C1767" s="6">
        <v>2018</v>
      </c>
      <c r="D1767" s="6" t="s">
        <v>1</v>
      </c>
      <c r="E1767" s="6" t="s">
        <v>4</v>
      </c>
      <c r="F1767" s="7">
        <v>653</v>
      </c>
    </row>
    <row r="1768" spans="1:6" ht="28" x14ac:dyDescent="0.3">
      <c r="A1768" s="6" t="s">
        <v>9</v>
      </c>
      <c r="B1768" s="6" t="s">
        <v>43</v>
      </c>
      <c r="C1768" s="6">
        <v>2018</v>
      </c>
      <c r="D1768" s="6" t="s">
        <v>1</v>
      </c>
      <c r="E1768" s="6" t="s">
        <v>4</v>
      </c>
      <c r="F1768" s="7">
        <v>323</v>
      </c>
    </row>
    <row r="1769" spans="1:6" ht="28" x14ac:dyDescent="0.3">
      <c r="A1769" s="6" t="s">
        <v>9</v>
      </c>
      <c r="B1769" s="6" t="s">
        <v>44</v>
      </c>
      <c r="C1769" s="6">
        <v>2018</v>
      </c>
      <c r="D1769" s="6" t="s">
        <v>1</v>
      </c>
      <c r="E1769" s="6" t="s">
        <v>4</v>
      </c>
      <c r="F1769" s="7">
        <v>85</v>
      </c>
    </row>
    <row r="1770" spans="1:6" ht="28" x14ac:dyDescent="0.3">
      <c r="A1770" s="6" t="s">
        <v>9</v>
      </c>
      <c r="B1770" s="6" t="s">
        <v>27</v>
      </c>
      <c r="C1770" s="6">
        <v>2018</v>
      </c>
      <c r="D1770" s="6" t="s">
        <v>1</v>
      </c>
      <c r="E1770" s="6" t="s">
        <v>4</v>
      </c>
      <c r="F1770" s="7">
        <v>57</v>
      </c>
    </row>
    <row r="1771" spans="1:6" ht="28" x14ac:dyDescent="0.3">
      <c r="A1771" s="6" t="s">
        <v>9</v>
      </c>
      <c r="B1771" s="6" t="s">
        <v>45</v>
      </c>
      <c r="C1771" s="6">
        <v>2018</v>
      </c>
      <c r="D1771" s="6" t="s">
        <v>1</v>
      </c>
      <c r="E1771" s="6" t="s">
        <v>4</v>
      </c>
      <c r="F1771" s="7">
        <v>5</v>
      </c>
    </row>
    <row r="1772" spans="1:6" ht="28" x14ac:dyDescent="0.3">
      <c r="A1772" s="6" t="s">
        <v>9</v>
      </c>
      <c r="B1772" s="6" t="s">
        <v>46</v>
      </c>
      <c r="C1772" s="6">
        <v>2018</v>
      </c>
      <c r="D1772" s="6" t="s">
        <v>1</v>
      </c>
      <c r="E1772" s="6" t="s">
        <v>4</v>
      </c>
      <c r="F1772" s="7">
        <v>300</v>
      </c>
    </row>
    <row r="1773" spans="1:6" ht="28" x14ac:dyDescent="0.3">
      <c r="A1773" s="6" t="s">
        <v>9</v>
      </c>
      <c r="B1773" s="6" t="s">
        <v>47</v>
      </c>
      <c r="C1773" s="6">
        <v>2018</v>
      </c>
      <c r="D1773" s="6" t="s">
        <v>1</v>
      </c>
      <c r="E1773" s="6" t="s">
        <v>4</v>
      </c>
      <c r="F1773" s="7">
        <v>6</v>
      </c>
    </row>
    <row r="1774" spans="1:6" ht="28" x14ac:dyDescent="0.3">
      <c r="A1774" s="6" t="s">
        <v>9</v>
      </c>
      <c r="B1774" s="6" t="s">
        <v>48</v>
      </c>
      <c r="C1774" s="6">
        <v>2018</v>
      </c>
      <c r="D1774" s="6" t="s">
        <v>1</v>
      </c>
      <c r="E1774" s="6" t="s">
        <v>4</v>
      </c>
      <c r="F1774" s="7">
        <v>96</v>
      </c>
    </row>
    <row r="1775" spans="1:6" ht="28" x14ac:dyDescent="0.3">
      <c r="A1775" s="6" t="s">
        <v>9</v>
      </c>
      <c r="B1775" s="6" t="s">
        <v>49</v>
      </c>
      <c r="C1775" s="6">
        <v>2018</v>
      </c>
      <c r="D1775" s="6" t="s">
        <v>1</v>
      </c>
      <c r="E1775" s="6" t="s">
        <v>4</v>
      </c>
      <c r="F1775" s="7">
        <v>231</v>
      </c>
    </row>
    <row r="1776" spans="1:6" ht="28" x14ac:dyDescent="0.3">
      <c r="A1776" s="6" t="s">
        <v>9</v>
      </c>
      <c r="B1776" s="6" t="s">
        <v>50</v>
      </c>
      <c r="C1776" s="6">
        <v>2018</v>
      </c>
      <c r="D1776" s="6" t="s">
        <v>1</v>
      </c>
      <c r="E1776" s="6" t="s">
        <v>4</v>
      </c>
      <c r="F1776" s="7">
        <v>444</v>
      </c>
    </row>
    <row r="1777" spans="1:6" ht="28" x14ac:dyDescent="0.3">
      <c r="A1777" s="6" t="s">
        <v>9</v>
      </c>
      <c r="B1777" s="6" t="s">
        <v>51</v>
      </c>
      <c r="C1777" s="6">
        <v>2018</v>
      </c>
      <c r="D1777" s="6" t="s">
        <v>1</v>
      </c>
      <c r="E1777" s="6" t="s">
        <v>4</v>
      </c>
      <c r="F1777" s="7">
        <v>524</v>
      </c>
    </row>
    <row r="1778" spans="1:6" ht="28" x14ac:dyDescent="0.3">
      <c r="A1778" s="6" t="s">
        <v>9</v>
      </c>
      <c r="B1778" s="6" t="s">
        <v>52</v>
      </c>
      <c r="C1778" s="6">
        <v>2018</v>
      </c>
      <c r="D1778" s="6" t="s">
        <v>1</v>
      </c>
      <c r="E1778" s="6" t="s">
        <v>4</v>
      </c>
      <c r="F1778" s="7">
        <v>586</v>
      </c>
    </row>
    <row r="1779" spans="1:6" ht="28" x14ac:dyDescent="0.3">
      <c r="A1779" s="6" t="s">
        <v>9</v>
      </c>
      <c r="B1779" s="6" t="s">
        <v>53</v>
      </c>
      <c r="C1779" s="6">
        <v>2018</v>
      </c>
      <c r="D1779" s="6" t="s">
        <v>1</v>
      </c>
      <c r="E1779" s="6" t="s">
        <v>4</v>
      </c>
      <c r="F1779" s="7">
        <v>483</v>
      </c>
    </row>
    <row r="1780" spans="1:6" ht="28" x14ac:dyDescent="0.3">
      <c r="A1780" s="6" t="s">
        <v>9</v>
      </c>
      <c r="B1780" s="6" t="s">
        <v>54</v>
      </c>
      <c r="C1780" s="6">
        <v>2018</v>
      </c>
      <c r="D1780" s="6" t="s">
        <v>1</v>
      </c>
      <c r="E1780" s="6" t="s">
        <v>4</v>
      </c>
      <c r="F1780" s="7">
        <v>164</v>
      </c>
    </row>
    <row r="1781" spans="1:6" ht="28" x14ac:dyDescent="0.3">
      <c r="A1781" s="6" t="s">
        <v>9</v>
      </c>
      <c r="B1781" s="6" t="s">
        <v>28</v>
      </c>
      <c r="C1781" s="6">
        <v>2018</v>
      </c>
      <c r="D1781" s="6" t="s">
        <v>1</v>
      </c>
      <c r="E1781" s="6" t="s">
        <v>4</v>
      </c>
      <c r="F1781" s="7">
        <v>97</v>
      </c>
    </row>
    <row r="1782" spans="1:6" ht="28" x14ac:dyDescent="0.3">
      <c r="A1782" s="6" t="s">
        <v>9</v>
      </c>
      <c r="B1782" s="6" t="s">
        <v>55</v>
      </c>
      <c r="C1782" s="6">
        <v>2018</v>
      </c>
      <c r="D1782" s="6" t="s">
        <v>1</v>
      </c>
      <c r="E1782" s="6" t="s">
        <v>4</v>
      </c>
      <c r="F1782" s="7">
        <v>230</v>
      </c>
    </row>
    <row r="1783" spans="1:6" ht="28" x14ac:dyDescent="0.3">
      <c r="A1783" s="6" t="s">
        <v>9</v>
      </c>
      <c r="B1783" s="6" t="s">
        <v>56</v>
      </c>
      <c r="C1783" s="6">
        <v>2018</v>
      </c>
      <c r="D1783" s="6" t="s">
        <v>1</v>
      </c>
      <c r="E1783" s="6" t="s">
        <v>4</v>
      </c>
      <c r="F1783" s="7">
        <v>1504</v>
      </c>
    </row>
    <row r="1784" spans="1:6" ht="28" x14ac:dyDescent="0.3">
      <c r="A1784" s="6" t="s">
        <v>9</v>
      </c>
      <c r="B1784" s="6" t="s">
        <v>57</v>
      </c>
      <c r="C1784" s="6">
        <v>2018</v>
      </c>
      <c r="D1784" s="6" t="s">
        <v>1</v>
      </c>
      <c r="E1784" s="6" t="s">
        <v>4</v>
      </c>
      <c r="F1784" s="7">
        <v>158</v>
      </c>
    </row>
    <row r="1785" spans="1:6" ht="28" x14ac:dyDescent="0.3">
      <c r="A1785" s="6" t="s">
        <v>9</v>
      </c>
      <c r="B1785" s="6" t="s">
        <v>58</v>
      </c>
      <c r="C1785" s="6">
        <v>2018</v>
      </c>
      <c r="D1785" s="6" t="s">
        <v>1</v>
      </c>
      <c r="E1785" s="6" t="s">
        <v>4</v>
      </c>
      <c r="F1785" s="7">
        <v>466</v>
      </c>
    </row>
    <row r="1786" spans="1:6" ht="28" x14ac:dyDescent="0.3">
      <c r="A1786" s="6" t="s">
        <v>9</v>
      </c>
      <c r="B1786" s="6" t="s">
        <v>29</v>
      </c>
      <c r="C1786" s="6">
        <v>2018</v>
      </c>
      <c r="D1786" s="6" t="s">
        <v>1</v>
      </c>
      <c r="E1786" s="6" t="s">
        <v>4</v>
      </c>
      <c r="F1786" s="7">
        <v>6</v>
      </c>
    </row>
    <row r="1787" spans="1:6" ht="28" x14ac:dyDescent="0.3">
      <c r="A1787" s="6" t="s">
        <v>9</v>
      </c>
      <c r="B1787" s="6" t="s">
        <v>30</v>
      </c>
      <c r="C1787" s="6">
        <v>2018</v>
      </c>
      <c r="D1787" s="6" t="s">
        <v>1</v>
      </c>
      <c r="E1787" s="6" t="s">
        <v>4</v>
      </c>
      <c r="F1787" s="7">
        <v>6</v>
      </c>
    </row>
    <row r="1788" spans="1:6" ht="28" x14ac:dyDescent="0.3">
      <c r="A1788" s="6" t="s">
        <v>9</v>
      </c>
      <c r="B1788" s="6" t="s">
        <v>31</v>
      </c>
      <c r="C1788" s="6">
        <v>2018</v>
      </c>
      <c r="D1788" s="6" t="s">
        <v>1</v>
      </c>
      <c r="E1788" s="6" t="s">
        <v>4</v>
      </c>
      <c r="F1788" s="7">
        <v>291</v>
      </c>
    </row>
    <row r="1789" spans="1:6" ht="28" x14ac:dyDescent="0.3">
      <c r="A1789" s="6" t="s">
        <v>9</v>
      </c>
      <c r="B1789" s="6" t="s">
        <v>32</v>
      </c>
      <c r="C1789" s="6">
        <v>2018</v>
      </c>
      <c r="D1789" s="6" t="s">
        <v>1</v>
      </c>
      <c r="E1789" s="6" t="s">
        <v>4</v>
      </c>
      <c r="F1789" s="7">
        <v>6</v>
      </c>
    </row>
    <row r="1790" spans="1:6" ht="28" x14ac:dyDescent="0.3">
      <c r="A1790" s="6" t="s">
        <v>9</v>
      </c>
      <c r="B1790" s="6" t="s">
        <v>33</v>
      </c>
      <c r="C1790" s="6">
        <v>2018</v>
      </c>
      <c r="D1790" s="6" t="s">
        <v>1</v>
      </c>
      <c r="E1790" s="6" t="s">
        <v>4</v>
      </c>
      <c r="F1790" s="7">
        <v>6</v>
      </c>
    </row>
    <row r="1791" spans="1:6" ht="28" x14ac:dyDescent="0.3">
      <c r="A1791" s="6" t="s">
        <v>9</v>
      </c>
      <c r="B1791" s="6" t="s">
        <v>34</v>
      </c>
      <c r="C1791" s="6">
        <v>2018</v>
      </c>
      <c r="D1791" s="6" t="s">
        <v>1</v>
      </c>
      <c r="E1791" s="6" t="s">
        <v>4</v>
      </c>
      <c r="F1791" s="7">
        <v>10</v>
      </c>
    </row>
    <row r="1792" spans="1:6" ht="28" x14ac:dyDescent="0.3">
      <c r="A1792" s="6" t="s">
        <v>10</v>
      </c>
      <c r="B1792" s="6" t="s">
        <v>59</v>
      </c>
      <c r="C1792" s="6">
        <v>2018</v>
      </c>
      <c r="D1792" s="6" t="s">
        <v>1</v>
      </c>
      <c r="E1792" s="6" t="s">
        <v>4</v>
      </c>
      <c r="F1792" s="7">
        <v>42</v>
      </c>
    </row>
    <row r="1793" spans="1:6" ht="28" x14ac:dyDescent="0.3">
      <c r="A1793" s="6" t="s">
        <v>10</v>
      </c>
      <c r="B1793" s="6" t="s">
        <v>60</v>
      </c>
      <c r="C1793" s="6">
        <v>2018</v>
      </c>
      <c r="D1793" s="6" t="s">
        <v>1</v>
      </c>
      <c r="E1793" s="6" t="s">
        <v>4</v>
      </c>
      <c r="F1793" s="7">
        <v>5</v>
      </c>
    </row>
    <row r="1794" spans="1:6" ht="28" x14ac:dyDescent="0.3">
      <c r="A1794" s="6" t="s">
        <v>10</v>
      </c>
      <c r="B1794" s="6" t="s">
        <v>61</v>
      </c>
      <c r="C1794" s="6">
        <v>2018</v>
      </c>
      <c r="D1794" s="6" t="s">
        <v>1</v>
      </c>
      <c r="E1794" s="6" t="s">
        <v>4</v>
      </c>
      <c r="F1794" s="7">
        <v>11</v>
      </c>
    </row>
    <row r="1795" spans="1:6" ht="28" x14ac:dyDescent="0.3">
      <c r="A1795" s="6" t="s">
        <v>10</v>
      </c>
      <c r="B1795" s="6" t="s">
        <v>62</v>
      </c>
      <c r="C1795" s="6">
        <v>2018</v>
      </c>
      <c r="D1795" s="6" t="s">
        <v>1</v>
      </c>
      <c r="E1795" s="6" t="s">
        <v>4</v>
      </c>
      <c r="F1795" s="7">
        <v>6</v>
      </c>
    </row>
    <row r="1796" spans="1:6" ht="28" x14ac:dyDescent="0.3">
      <c r="A1796" s="6" t="s">
        <v>10</v>
      </c>
      <c r="B1796" s="6" t="s">
        <v>63</v>
      </c>
      <c r="C1796" s="6">
        <v>2018</v>
      </c>
      <c r="D1796" s="6" t="s">
        <v>1</v>
      </c>
      <c r="E1796" s="6" t="s">
        <v>4</v>
      </c>
      <c r="F1796" s="7">
        <v>28</v>
      </c>
    </row>
    <row r="1797" spans="1:6" ht="28" x14ac:dyDescent="0.3">
      <c r="A1797" s="6" t="s">
        <v>10</v>
      </c>
      <c r="B1797" s="6" t="s">
        <v>64</v>
      </c>
      <c r="C1797" s="6">
        <v>2018</v>
      </c>
      <c r="D1797" s="6" t="s">
        <v>1</v>
      </c>
      <c r="E1797" s="6" t="s">
        <v>4</v>
      </c>
      <c r="F1797" s="7">
        <v>11</v>
      </c>
    </row>
    <row r="1798" spans="1:6" ht="28" x14ac:dyDescent="0.3">
      <c r="A1798" s="6" t="s">
        <v>10</v>
      </c>
      <c r="B1798" s="6" t="s">
        <v>65</v>
      </c>
      <c r="C1798" s="6">
        <v>2018</v>
      </c>
      <c r="D1798" s="6" t="s">
        <v>1</v>
      </c>
      <c r="E1798" s="6" t="s">
        <v>4</v>
      </c>
      <c r="F1798" s="7">
        <v>5</v>
      </c>
    </row>
    <row r="1799" spans="1:6" ht="28" x14ac:dyDescent="0.3">
      <c r="A1799" s="6" t="s">
        <v>10</v>
      </c>
      <c r="B1799" s="6" t="s">
        <v>66</v>
      </c>
      <c r="C1799" s="6">
        <v>2018</v>
      </c>
      <c r="D1799" s="6" t="s">
        <v>1</v>
      </c>
      <c r="E1799" s="6" t="s">
        <v>4</v>
      </c>
      <c r="F1799" s="7">
        <v>6</v>
      </c>
    </row>
    <row r="1800" spans="1:6" ht="28" x14ac:dyDescent="0.3">
      <c r="A1800" s="6" t="s">
        <v>11</v>
      </c>
      <c r="B1800" s="6" t="s">
        <v>67</v>
      </c>
      <c r="C1800" s="6">
        <v>2018</v>
      </c>
      <c r="D1800" s="6" t="s">
        <v>1</v>
      </c>
      <c r="E1800" s="6" t="s">
        <v>4</v>
      </c>
      <c r="F1800" s="7">
        <v>11</v>
      </c>
    </row>
    <row r="1801" spans="1:6" ht="28" x14ac:dyDescent="0.3">
      <c r="A1801" s="6" t="s">
        <v>11</v>
      </c>
      <c r="B1801" s="6" t="s">
        <v>76</v>
      </c>
      <c r="C1801" s="6">
        <v>2018</v>
      </c>
      <c r="D1801" s="6" t="s">
        <v>1</v>
      </c>
      <c r="E1801" s="6" t="s">
        <v>4</v>
      </c>
      <c r="F1801" s="7">
        <v>6</v>
      </c>
    </row>
    <row r="1802" spans="1:6" ht="28" x14ac:dyDescent="0.3">
      <c r="A1802" s="6" t="s">
        <v>11</v>
      </c>
      <c r="B1802" s="6" t="s">
        <v>77</v>
      </c>
      <c r="C1802" s="6">
        <v>2018</v>
      </c>
      <c r="D1802" s="6" t="s">
        <v>1</v>
      </c>
      <c r="E1802" s="6" t="s">
        <v>4</v>
      </c>
      <c r="F1802" s="7">
        <v>6</v>
      </c>
    </row>
    <row r="1803" spans="1:6" ht="28" x14ac:dyDescent="0.3">
      <c r="A1803" s="6" t="s">
        <v>11</v>
      </c>
      <c r="B1803" s="6" t="s">
        <v>78</v>
      </c>
      <c r="C1803" s="6">
        <v>2018</v>
      </c>
      <c r="D1803" s="6" t="s">
        <v>1</v>
      </c>
      <c r="E1803" s="6" t="s">
        <v>4</v>
      </c>
      <c r="F1803" s="7">
        <v>6</v>
      </c>
    </row>
    <row r="1804" spans="1:6" ht="28" x14ac:dyDescent="0.3">
      <c r="A1804" s="6" t="s">
        <v>11</v>
      </c>
      <c r="B1804" s="6" t="s">
        <v>79</v>
      </c>
      <c r="C1804" s="6">
        <v>2018</v>
      </c>
      <c r="D1804" s="6" t="s">
        <v>1</v>
      </c>
      <c r="E1804" s="6" t="s">
        <v>4</v>
      </c>
      <c r="F1804" s="7">
        <v>6</v>
      </c>
    </row>
    <row r="1805" spans="1:6" ht="28" x14ac:dyDescent="0.3">
      <c r="A1805" s="6" t="s">
        <v>11</v>
      </c>
      <c r="B1805" s="6" t="s">
        <v>80</v>
      </c>
      <c r="C1805" s="6">
        <v>2018</v>
      </c>
      <c r="D1805" s="6" t="s">
        <v>1</v>
      </c>
      <c r="E1805" s="6" t="s">
        <v>4</v>
      </c>
      <c r="F1805" s="7">
        <v>6</v>
      </c>
    </row>
    <row r="1806" spans="1:6" ht="28" x14ac:dyDescent="0.3">
      <c r="A1806" s="6" t="s">
        <v>11</v>
      </c>
      <c r="B1806" s="6" t="s">
        <v>68</v>
      </c>
      <c r="C1806" s="6">
        <v>2018</v>
      </c>
      <c r="D1806" s="6" t="s">
        <v>1</v>
      </c>
      <c r="E1806" s="6" t="s">
        <v>4</v>
      </c>
      <c r="F1806" s="7">
        <v>14</v>
      </c>
    </row>
    <row r="1807" spans="1:6" ht="28" x14ac:dyDescent="0.3">
      <c r="A1807" s="6" t="s">
        <v>11</v>
      </c>
      <c r="B1807" s="6" t="s">
        <v>69</v>
      </c>
      <c r="C1807" s="6">
        <v>2018</v>
      </c>
      <c r="D1807" s="6" t="s">
        <v>1</v>
      </c>
      <c r="E1807" s="6" t="s">
        <v>4</v>
      </c>
      <c r="F1807" s="7">
        <v>136</v>
      </c>
    </row>
    <row r="1808" spans="1:6" ht="28" x14ac:dyDescent="0.3">
      <c r="A1808" s="6" t="s">
        <v>11</v>
      </c>
      <c r="B1808" s="6" t="s">
        <v>70</v>
      </c>
      <c r="C1808" s="6">
        <v>2018</v>
      </c>
      <c r="D1808" s="6" t="s">
        <v>1</v>
      </c>
      <c r="E1808" s="6" t="s">
        <v>4</v>
      </c>
      <c r="F1808" s="7">
        <v>1054</v>
      </c>
    </row>
    <row r="1809" spans="1:6" ht="28" x14ac:dyDescent="0.3">
      <c r="A1809" s="6" t="s">
        <v>11</v>
      </c>
      <c r="B1809" s="6" t="s">
        <v>71</v>
      </c>
      <c r="C1809" s="6">
        <v>2018</v>
      </c>
      <c r="D1809" s="6" t="s">
        <v>1</v>
      </c>
      <c r="E1809" s="6" t="s">
        <v>4</v>
      </c>
      <c r="F1809" s="7">
        <v>6</v>
      </c>
    </row>
    <row r="1810" spans="1:6" ht="28" x14ac:dyDescent="0.3">
      <c r="A1810" s="6" t="s">
        <v>11</v>
      </c>
      <c r="B1810" s="6" t="s">
        <v>72</v>
      </c>
      <c r="C1810" s="6">
        <v>2018</v>
      </c>
      <c r="D1810" s="6" t="s">
        <v>1</v>
      </c>
      <c r="E1810" s="6" t="s">
        <v>4</v>
      </c>
      <c r="F1810" s="7">
        <v>35</v>
      </c>
    </row>
    <row r="1811" spans="1:6" ht="28" x14ac:dyDescent="0.3">
      <c r="A1811" s="6" t="s">
        <v>11</v>
      </c>
      <c r="B1811" s="6" t="s">
        <v>73</v>
      </c>
      <c r="C1811" s="6">
        <v>2018</v>
      </c>
      <c r="D1811" s="6" t="s">
        <v>1</v>
      </c>
      <c r="E1811" s="6" t="s">
        <v>4</v>
      </c>
      <c r="F1811" s="7">
        <v>10</v>
      </c>
    </row>
    <row r="1812" spans="1:6" ht="28" x14ac:dyDescent="0.3">
      <c r="A1812" s="6" t="s">
        <v>11</v>
      </c>
      <c r="B1812" s="6" t="s">
        <v>74</v>
      </c>
      <c r="C1812" s="6">
        <v>2018</v>
      </c>
      <c r="D1812" s="6" t="s">
        <v>1</v>
      </c>
      <c r="E1812" s="6" t="s">
        <v>4</v>
      </c>
      <c r="F1812" s="7">
        <v>6</v>
      </c>
    </row>
    <row r="1813" spans="1:6" ht="28" x14ac:dyDescent="0.3">
      <c r="A1813" s="6" t="s">
        <v>11</v>
      </c>
      <c r="B1813" s="6" t="s">
        <v>75</v>
      </c>
      <c r="C1813" s="6">
        <v>2018</v>
      </c>
      <c r="D1813" s="6" t="s">
        <v>1</v>
      </c>
      <c r="E1813" s="6" t="s">
        <v>4</v>
      </c>
      <c r="F1813" s="7">
        <v>145</v>
      </c>
    </row>
    <row r="1814" spans="1:6" ht="28" x14ac:dyDescent="0.3">
      <c r="A1814" s="6" t="s">
        <v>12</v>
      </c>
      <c r="B1814" s="6" t="s">
        <v>81</v>
      </c>
      <c r="C1814" s="6">
        <v>2018</v>
      </c>
      <c r="D1814" s="6" t="s">
        <v>1</v>
      </c>
      <c r="E1814" s="6" t="s">
        <v>4</v>
      </c>
      <c r="F1814" s="7">
        <v>18</v>
      </c>
    </row>
    <row r="1815" spans="1:6" ht="28" x14ac:dyDescent="0.3">
      <c r="A1815" s="6" t="s">
        <v>12</v>
      </c>
      <c r="B1815" s="6" t="s">
        <v>82</v>
      </c>
      <c r="C1815" s="6">
        <v>2018</v>
      </c>
      <c r="D1815" s="6" t="s">
        <v>1</v>
      </c>
      <c r="E1815" s="6" t="s">
        <v>4</v>
      </c>
      <c r="F1815" s="7">
        <v>40</v>
      </c>
    </row>
    <row r="1816" spans="1:6" ht="28" x14ac:dyDescent="0.3">
      <c r="A1816" s="6" t="s">
        <v>12</v>
      </c>
      <c r="B1816" s="6" t="s">
        <v>83</v>
      </c>
      <c r="C1816" s="6">
        <v>2018</v>
      </c>
      <c r="D1816" s="6" t="s">
        <v>1</v>
      </c>
      <c r="E1816" s="6" t="s">
        <v>4</v>
      </c>
      <c r="F1816" s="7">
        <v>16</v>
      </c>
    </row>
    <row r="1817" spans="1:6" ht="28" x14ac:dyDescent="0.3">
      <c r="A1817" s="6" t="s">
        <v>12</v>
      </c>
      <c r="B1817" s="6" t="s">
        <v>84</v>
      </c>
      <c r="C1817" s="6">
        <v>2018</v>
      </c>
      <c r="D1817" s="6" t="s">
        <v>1</v>
      </c>
      <c r="E1817" s="6" t="s">
        <v>4</v>
      </c>
      <c r="F1817" s="7">
        <v>6</v>
      </c>
    </row>
    <row r="1818" spans="1:6" ht="28" x14ac:dyDescent="0.3">
      <c r="A1818" s="6" t="s">
        <v>12</v>
      </c>
      <c r="B1818" s="6" t="s">
        <v>85</v>
      </c>
      <c r="C1818" s="6">
        <v>2018</v>
      </c>
      <c r="D1818" s="6" t="s">
        <v>1</v>
      </c>
      <c r="E1818" s="6" t="s">
        <v>4</v>
      </c>
      <c r="F1818" s="7">
        <v>117</v>
      </c>
    </row>
    <row r="1819" spans="1:6" ht="28" x14ac:dyDescent="0.3">
      <c r="A1819" s="6" t="s">
        <v>12</v>
      </c>
      <c r="B1819" s="6" t="s">
        <v>86</v>
      </c>
      <c r="C1819" s="6">
        <v>2018</v>
      </c>
      <c r="D1819" s="6" t="s">
        <v>1</v>
      </c>
      <c r="E1819" s="6" t="s">
        <v>4</v>
      </c>
      <c r="F1819" s="7">
        <v>10</v>
      </c>
    </row>
    <row r="1820" spans="1:6" ht="28" x14ac:dyDescent="0.3">
      <c r="A1820" s="6" t="s">
        <v>12</v>
      </c>
      <c r="B1820" s="6" t="s">
        <v>87</v>
      </c>
      <c r="C1820" s="6">
        <v>2018</v>
      </c>
      <c r="D1820" s="6" t="s">
        <v>1</v>
      </c>
      <c r="E1820" s="6" t="s">
        <v>4</v>
      </c>
      <c r="F1820" s="7">
        <v>80</v>
      </c>
    </row>
    <row r="1821" spans="1:6" ht="28" x14ac:dyDescent="0.3">
      <c r="A1821" s="6" t="s">
        <v>12</v>
      </c>
      <c r="B1821" s="6" t="s">
        <v>88</v>
      </c>
      <c r="C1821" s="6">
        <v>2018</v>
      </c>
      <c r="D1821" s="6" t="s">
        <v>1</v>
      </c>
      <c r="E1821" s="6" t="s">
        <v>4</v>
      </c>
      <c r="F1821" s="7">
        <v>15</v>
      </c>
    </row>
    <row r="1822" spans="1:6" ht="28" x14ac:dyDescent="0.3">
      <c r="A1822" s="6" t="s">
        <v>13</v>
      </c>
      <c r="B1822" s="6" t="s">
        <v>89</v>
      </c>
      <c r="C1822" s="6">
        <v>2018</v>
      </c>
      <c r="D1822" s="6" t="s">
        <v>1</v>
      </c>
      <c r="E1822" s="6" t="s">
        <v>4</v>
      </c>
      <c r="F1822" s="7">
        <v>6</v>
      </c>
    </row>
    <row r="1823" spans="1:6" ht="28" x14ac:dyDescent="0.3">
      <c r="A1823" s="6" t="s">
        <v>13</v>
      </c>
      <c r="B1823" s="6" t="s">
        <v>98</v>
      </c>
      <c r="C1823" s="6">
        <v>2018</v>
      </c>
      <c r="D1823" s="6" t="s">
        <v>1</v>
      </c>
      <c r="E1823" s="6" t="s">
        <v>4</v>
      </c>
      <c r="F1823" s="7">
        <v>5</v>
      </c>
    </row>
    <row r="1824" spans="1:6" ht="28" x14ac:dyDescent="0.3">
      <c r="A1824" s="6" t="s">
        <v>13</v>
      </c>
      <c r="B1824" s="6" t="s">
        <v>99</v>
      </c>
      <c r="C1824" s="6">
        <v>2018</v>
      </c>
      <c r="D1824" s="6" t="s">
        <v>1</v>
      </c>
      <c r="E1824" s="6" t="s">
        <v>4</v>
      </c>
      <c r="F1824" s="7">
        <v>6</v>
      </c>
    </row>
    <row r="1825" spans="1:6" ht="28" x14ac:dyDescent="0.3">
      <c r="A1825" s="6" t="s">
        <v>13</v>
      </c>
      <c r="B1825" s="6" t="s">
        <v>90</v>
      </c>
      <c r="C1825" s="6">
        <v>2018</v>
      </c>
      <c r="D1825" s="6" t="s">
        <v>1</v>
      </c>
      <c r="E1825" s="6" t="s">
        <v>4</v>
      </c>
      <c r="F1825" s="7">
        <v>7</v>
      </c>
    </row>
    <row r="1826" spans="1:6" ht="28" x14ac:dyDescent="0.3">
      <c r="A1826" s="6" t="s">
        <v>13</v>
      </c>
      <c r="B1826" s="6" t="s">
        <v>91</v>
      </c>
      <c r="C1826" s="6">
        <v>2018</v>
      </c>
      <c r="D1826" s="6" t="s">
        <v>1</v>
      </c>
      <c r="E1826" s="6" t="s">
        <v>4</v>
      </c>
      <c r="F1826" s="7">
        <v>5</v>
      </c>
    </row>
    <row r="1827" spans="1:6" ht="28" x14ac:dyDescent="0.3">
      <c r="A1827" s="6" t="s">
        <v>13</v>
      </c>
      <c r="B1827" s="6" t="s">
        <v>92</v>
      </c>
      <c r="C1827" s="6">
        <v>2018</v>
      </c>
      <c r="D1827" s="6" t="s">
        <v>1</v>
      </c>
      <c r="E1827" s="6" t="s">
        <v>4</v>
      </c>
      <c r="F1827" s="7">
        <v>6</v>
      </c>
    </row>
    <row r="1828" spans="1:6" ht="28" x14ac:dyDescent="0.3">
      <c r="A1828" s="6" t="s">
        <v>13</v>
      </c>
      <c r="B1828" s="6" t="s">
        <v>93</v>
      </c>
      <c r="C1828" s="6">
        <v>2018</v>
      </c>
      <c r="D1828" s="6" t="s">
        <v>1</v>
      </c>
      <c r="E1828" s="6" t="s">
        <v>4</v>
      </c>
      <c r="F1828" s="7">
        <v>10</v>
      </c>
    </row>
    <row r="1829" spans="1:6" ht="28" x14ac:dyDescent="0.3">
      <c r="A1829" s="6" t="s">
        <v>13</v>
      </c>
      <c r="B1829" s="6" t="s">
        <v>94</v>
      </c>
      <c r="C1829" s="6">
        <v>2018</v>
      </c>
      <c r="D1829" s="6" t="s">
        <v>1</v>
      </c>
      <c r="E1829" s="6" t="s">
        <v>4</v>
      </c>
      <c r="F1829" s="7">
        <v>6</v>
      </c>
    </row>
    <row r="1830" spans="1:6" ht="28" x14ac:dyDescent="0.3">
      <c r="A1830" s="6" t="s">
        <v>13</v>
      </c>
      <c r="B1830" s="6" t="s">
        <v>95</v>
      </c>
      <c r="C1830" s="6">
        <v>2018</v>
      </c>
      <c r="D1830" s="6" t="s">
        <v>1</v>
      </c>
      <c r="E1830" s="6" t="s">
        <v>4</v>
      </c>
      <c r="F1830" s="7">
        <v>5</v>
      </c>
    </row>
    <row r="1831" spans="1:6" ht="28" x14ac:dyDescent="0.3">
      <c r="A1831" s="6" t="s">
        <v>13</v>
      </c>
      <c r="B1831" s="6" t="s">
        <v>96</v>
      </c>
      <c r="C1831" s="6">
        <v>2018</v>
      </c>
      <c r="D1831" s="6" t="s">
        <v>1</v>
      </c>
      <c r="E1831" s="6" t="s">
        <v>4</v>
      </c>
      <c r="F1831" s="7">
        <v>9</v>
      </c>
    </row>
    <row r="1832" spans="1:6" ht="28" x14ac:dyDescent="0.3">
      <c r="A1832" s="6" t="s">
        <v>13</v>
      </c>
      <c r="B1832" s="6" t="s">
        <v>97</v>
      </c>
      <c r="C1832" s="6">
        <v>2018</v>
      </c>
      <c r="D1832" s="6" t="s">
        <v>1</v>
      </c>
      <c r="E1832" s="6" t="s">
        <v>4</v>
      </c>
      <c r="F1832" s="7">
        <v>6</v>
      </c>
    </row>
    <row r="1833" spans="1:6" ht="28" x14ac:dyDescent="0.3">
      <c r="A1833" s="6" t="s">
        <v>14</v>
      </c>
      <c r="B1833" s="6" t="s">
        <v>100</v>
      </c>
      <c r="C1833" s="6">
        <v>2018</v>
      </c>
      <c r="D1833" s="6" t="s">
        <v>1</v>
      </c>
      <c r="E1833" s="6" t="s">
        <v>4</v>
      </c>
      <c r="F1833" s="7">
        <v>44</v>
      </c>
    </row>
    <row r="1834" spans="1:6" ht="28" x14ac:dyDescent="0.3">
      <c r="A1834" s="6" t="s">
        <v>14</v>
      </c>
      <c r="B1834" s="6" t="s">
        <v>101</v>
      </c>
      <c r="C1834" s="6">
        <v>2018</v>
      </c>
      <c r="D1834" s="6" t="s">
        <v>1</v>
      </c>
      <c r="E1834" s="6" t="s">
        <v>4</v>
      </c>
      <c r="F1834" s="7">
        <v>7</v>
      </c>
    </row>
    <row r="1835" spans="1:6" ht="28" x14ac:dyDescent="0.3">
      <c r="A1835" s="6" t="s">
        <v>14</v>
      </c>
      <c r="B1835" s="6" t="s">
        <v>102</v>
      </c>
      <c r="C1835" s="6">
        <v>2018</v>
      </c>
      <c r="D1835" s="6" t="s">
        <v>1</v>
      </c>
      <c r="E1835" s="6" t="s">
        <v>4</v>
      </c>
      <c r="F1835" s="7">
        <v>516</v>
      </c>
    </row>
    <row r="1836" spans="1:6" ht="28" x14ac:dyDescent="0.3">
      <c r="A1836" s="6" t="s">
        <v>14</v>
      </c>
      <c r="B1836" s="6" t="s">
        <v>103</v>
      </c>
      <c r="C1836" s="6">
        <v>2018</v>
      </c>
      <c r="D1836" s="6" t="s">
        <v>1</v>
      </c>
      <c r="E1836" s="6" t="s">
        <v>4</v>
      </c>
      <c r="F1836" s="7">
        <v>498</v>
      </c>
    </row>
    <row r="1837" spans="1:6" ht="28" x14ac:dyDescent="0.3">
      <c r="A1837" s="6" t="s">
        <v>14</v>
      </c>
      <c r="B1837" s="6" t="s">
        <v>104</v>
      </c>
      <c r="C1837" s="6">
        <v>2018</v>
      </c>
      <c r="D1837" s="6" t="s">
        <v>1</v>
      </c>
      <c r="E1837" s="6" t="s">
        <v>4</v>
      </c>
      <c r="F1837" s="7">
        <v>1354</v>
      </c>
    </row>
    <row r="1838" spans="1:6" ht="28" x14ac:dyDescent="0.3">
      <c r="A1838" s="6" t="s">
        <v>14</v>
      </c>
      <c r="B1838" s="6" t="s">
        <v>105</v>
      </c>
      <c r="C1838" s="6">
        <v>2018</v>
      </c>
      <c r="D1838" s="6" t="s">
        <v>1</v>
      </c>
      <c r="E1838" s="6" t="s">
        <v>4</v>
      </c>
      <c r="F1838" s="7">
        <v>579</v>
      </c>
    </row>
    <row r="1839" spans="1:6" ht="28" x14ac:dyDescent="0.3">
      <c r="A1839" s="6" t="s">
        <v>15</v>
      </c>
      <c r="B1839" s="6" t="s">
        <v>106</v>
      </c>
      <c r="C1839" s="6">
        <v>2018</v>
      </c>
      <c r="D1839" s="6" t="s">
        <v>1</v>
      </c>
      <c r="E1839" s="6" t="s">
        <v>4</v>
      </c>
      <c r="F1839" s="7">
        <v>6</v>
      </c>
    </row>
    <row r="1840" spans="1:6" ht="28" x14ac:dyDescent="0.3">
      <c r="A1840" s="6" t="s">
        <v>15</v>
      </c>
      <c r="B1840" s="6" t="s">
        <v>107</v>
      </c>
      <c r="C1840" s="6">
        <v>2018</v>
      </c>
      <c r="D1840" s="6" t="s">
        <v>1</v>
      </c>
      <c r="E1840" s="6" t="s">
        <v>4</v>
      </c>
      <c r="F1840" s="7">
        <v>6</v>
      </c>
    </row>
    <row r="1841" spans="1:6" ht="28" x14ac:dyDescent="0.3">
      <c r="A1841" s="6" t="s">
        <v>15</v>
      </c>
      <c r="B1841" s="6" t="s">
        <v>108</v>
      </c>
      <c r="C1841" s="6">
        <v>2018</v>
      </c>
      <c r="D1841" s="6" t="s">
        <v>1</v>
      </c>
      <c r="E1841" s="6" t="s">
        <v>4</v>
      </c>
      <c r="F1841" s="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1E16-7200-8946-AEEB-D1EA7366CFF2}">
  <dimension ref="A1:V44"/>
  <sheetViews>
    <sheetView showGridLines="0" zoomScale="57" zoomScaleNormal="118" workbookViewId="0">
      <selection activeCell="X32" sqref="X32"/>
    </sheetView>
  </sheetViews>
  <sheetFormatPr baseColWidth="10" defaultRowHeight="15" x14ac:dyDescent="0.2"/>
  <cols>
    <col min="1" max="1" width="15.6640625" bestFit="1" customWidth="1"/>
    <col min="2" max="2" width="10.33203125" bestFit="1" customWidth="1"/>
    <col min="3" max="3" width="11.5" bestFit="1" customWidth="1"/>
    <col min="4" max="4" width="10.33203125" bestFit="1" customWidth="1"/>
    <col min="5" max="5" width="9.5" bestFit="1" customWidth="1"/>
    <col min="6" max="6" width="10.33203125" bestFit="1" customWidth="1"/>
    <col min="7" max="7" width="9.5" bestFit="1" customWidth="1"/>
    <col min="8" max="8" width="10.33203125" bestFit="1" customWidth="1"/>
    <col min="9" max="9" width="14" bestFit="1" customWidth="1"/>
    <col min="10" max="10" width="15.33203125" bestFit="1" customWidth="1"/>
    <col min="11" max="11" width="12.33203125" bestFit="1" customWidth="1"/>
    <col min="12" max="12" width="8.6640625" bestFit="1" customWidth="1"/>
    <col min="13" max="14" width="11" bestFit="1" customWidth="1"/>
    <col min="15" max="15" width="10.1640625" customWidth="1"/>
    <col min="18" max="18" width="12.5" bestFit="1" customWidth="1"/>
    <col min="19" max="19" width="5.1640625" bestFit="1" customWidth="1"/>
    <col min="20" max="20" width="13.33203125" bestFit="1" customWidth="1"/>
    <col min="21" max="21" width="11.83203125" bestFit="1" customWidth="1"/>
  </cols>
  <sheetData>
    <row r="1" spans="1:15" ht="16" x14ac:dyDescent="0.2">
      <c r="A1" s="119" t="s">
        <v>164</v>
      </c>
      <c r="B1" s="120"/>
      <c r="C1" s="120"/>
      <c r="D1" s="120"/>
      <c r="E1" s="120"/>
      <c r="F1" s="120"/>
      <c r="G1" s="120"/>
      <c r="H1" s="121"/>
    </row>
    <row r="3" spans="1:15" x14ac:dyDescent="0.2">
      <c r="A3" s="16" t="s">
        <v>114</v>
      </c>
      <c r="B3" s="16" t="s">
        <v>112</v>
      </c>
    </row>
    <row r="4" spans="1:15" x14ac:dyDescent="0.2">
      <c r="A4" s="16" t="s">
        <v>110</v>
      </c>
      <c r="B4" t="s">
        <v>5</v>
      </c>
      <c r="C4" t="s">
        <v>4</v>
      </c>
      <c r="D4" t="s">
        <v>113</v>
      </c>
      <c r="F4" s="18" t="s">
        <v>110</v>
      </c>
      <c r="G4" s="18" t="s">
        <v>5</v>
      </c>
      <c r="H4" s="18" t="s">
        <v>4</v>
      </c>
      <c r="I4" s="18" t="s">
        <v>115</v>
      </c>
      <c r="J4" s="18" t="s">
        <v>120</v>
      </c>
      <c r="K4" s="18" t="s">
        <v>121</v>
      </c>
    </row>
    <row r="5" spans="1:15" x14ac:dyDescent="0.2">
      <c r="A5">
        <v>2014</v>
      </c>
      <c r="B5" s="17">
        <v>244776</v>
      </c>
      <c r="C5" s="17">
        <v>137609</v>
      </c>
      <c r="D5" s="17">
        <v>382385</v>
      </c>
      <c r="F5" s="19">
        <v>2014</v>
      </c>
      <c r="G5" s="20">
        <v>244776</v>
      </c>
      <c r="H5" s="20">
        <v>137609</v>
      </c>
      <c r="I5" s="20">
        <v>382385</v>
      </c>
      <c r="J5" s="22">
        <f>G5/I5</f>
        <v>0.64012971220105386</v>
      </c>
      <c r="K5" s="22">
        <f>H5/I5</f>
        <v>0.35987028779894609</v>
      </c>
    </row>
    <row r="6" spans="1:15" x14ac:dyDescent="0.2">
      <c r="A6">
        <v>2015</v>
      </c>
      <c r="B6" s="17">
        <v>241981</v>
      </c>
      <c r="C6" s="17">
        <v>132806</v>
      </c>
      <c r="D6" s="17">
        <v>374787</v>
      </c>
      <c r="F6" s="19">
        <v>2015</v>
      </c>
      <c r="G6" s="20">
        <v>241981</v>
      </c>
      <c r="H6" s="20">
        <v>132806</v>
      </c>
      <c r="I6" s="20">
        <v>374787</v>
      </c>
      <c r="J6" s="22">
        <f>G6/I6</f>
        <v>0.6456493955233239</v>
      </c>
      <c r="K6" s="22">
        <f t="shared" ref="K6:K9" si="0">H6/I6</f>
        <v>0.3543506044766761</v>
      </c>
      <c r="M6" s="161" t="s">
        <v>165</v>
      </c>
      <c r="N6" s="161"/>
      <c r="O6" s="161"/>
    </row>
    <row r="7" spans="1:15" ht="32" x14ac:dyDescent="0.2">
      <c r="A7">
        <v>2016</v>
      </c>
      <c r="B7" s="17">
        <v>242753</v>
      </c>
      <c r="C7" s="17">
        <v>132654</v>
      </c>
      <c r="D7" s="17">
        <v>375407</v>
      </c>
      <c r="F7" s="19">
        <v>2016</v>
      </c>
      <c r="G7" s="20">
        <v>242753</v>
      </c>
      <c r="H7" s="20">
        <v>132654</v>
      </c>
      <c r="I7" s="20">
        <v>375407</v>
      </c>
      <c r="J7" s="22">
        <f t="shared" ref="J7:J9" si="1">G7/I7</f>
        <v>0.6466395139142318</v>
      </c>
      <c r="K7" s="22">
        <f t="shared" si="0"/>
        <v>0.35336048608576826</v>
      </c>
      <c r="M7" s="90" t="s">
        <v>5</v>
      </c>
      <c r="N7" s="90" t="s">
        <v>4</v>
      </c>
      <c r="O7" s="91" t="s">
        <v>115</v>
      </c>
    </row>
    <row r="8" spans="1:15" x14ac:dyDescent="0.2">
      <c r="A8">
        <v>2017</v>
      </c>
      <c r="B8" s="17">
        <v>246129</v>
      </c>
      <c r="C8" s="17">
        <v>133668</v>
      </c>
      <c r="D8" s="17">
        <v>379797</v>
      </c>
      <c r="F8" s="19">
        <v>2017</v>
      </c>
      <c r="G8" s="20">
        <v>246129</v>
      </c>
      <c r="H8" s="20">
        <v>133668</v>
      </c>
      <c r="I8" s="20">
        <v>379797</v>
      </c>
      <c r="J8" s="22">
        <f t="shared" si="1"/>
        <v>0.64805409205443965</v>
      </c>
      <c r="K8" s="22">
        <f t="shared" si="0"/>
        <v>0.35194590794556041</v>
      </c>
      <c r="M8" s="89">
        <f>(G9-G5)/G5</f>
        <v>5.2006732686211065E-3</v>
      </c>
      <c r="N8" s="89">
        <f>(H9-H5)/H5</f>
        <v>-3.0506725577542165E-2</v>
      </c>
      <c r="O8" s="88">
        <f>(I9-I5)/I5</f>
        <v>-7.649358630699426E-3</v>
      </c>
    </row>
    <row r="9" spans="1:15" x14ac:dyDescent="0.2">
      <c r="A9">
        <v>2018</v>
      </c>
      <c r="B9" s="17">
        <v>246049</v>
      </c>
      <c r="C9" s="17">
        <v>133411</v>
      </c>
      <c r="D9" s="17">
        <v>379460</v>
      </c>
      <c r="F9" s="19">
        <v>2018</v>
      </c>
      <c r="G9" s="20">
        <v>246049</v>
      </c>
      <c r="H9" s="20">
        <v>133411</v>
      </c>
      <c r="I9" s="20">
        <v>379460</v>
      </c>
      <c r="J9" s="22">
        <f t="shared" si="1"/>
        <v>0.64841880567121701</v>
      </c>
      <c r="K9" s="22">
        <f t="shared" si="0"/>
        <v>0.35158119432878299</v>
      </c>
    </row>
    <row r="10" spans="1:15" x14ac:dyDescent="0.2">
      <c r="A10" t="s">
        <v>113</v>
      </c>
      <c r="B10" s="17">
        <v>1221688</v>
      </c>
      <c r="C10" s="17">
        <v>670148</v>
      </c>
      <c r="D10" s="17">
        <v>1891836</v>
      </c>
    </row>
    <row r="35" spans="1:22" ht="16" thickBot="1" x14ac:dyDescent="0.25"/>
    <row r="36" spans="1:22" x14ac:dyDescent="0.2">
      <c r="A36" s="157" t="s">
        <v>114</v>
      </c>
      <c r="B36" s="157" t="s">
        <v>112</v>
      </c>
      <c r="C36" s="157" t="s">
        <v>111</v>
      </c>
      <c r="D36" s="158"/>
      <c r="E36" s="158"/>
      <c r="F36" s="158"/>
      <c r="J36" s="25"/>
      <c r="K36" s="117" t="s">
        <v>5</v>
      </c>
      <c r="L36" s="118"/>
      <c r="M36" s="33" t="s">
        <v>116</v>
      </c>
      <c r="N36" s="117" t="s">
        <v>4</v>
      </c>
      <c r="O36" s="118"/>
      <c r="P36" s="27" t="s">
        <v>117</v>
      </c>
      <c r="Q36" s="18" t="s">
        <v>113</v>
      </c>
      <c r="S36" s="35" t="s">
        <v>110</v>
      </c>
      <c r="T36" s="36" t="s">
        <v>118</v>
      </c>
      <c r="U36" s="36" t="s">
        <v>119</v>
      </c>
      <c r="V36" s="36" t="s">
        <v>166</v>
      </c>
    </row>
    <row r="37" spans="1:22" x14ac:dyDescent="0.2">
      <c r="A37" s="158"/>
      <c r="B37" s="158" t="s">
        <v>5</v>
      </c>
      <c r="C37" s="158" t="s">
        <v>116</v>
      </c>
      <c r="D37" s="158" t="s">
        <v>4</v>
      </c>
      <c r="E37" s="158" t="s">
        <v>117</v>
      </c>
      <c r="F37" s="158" t="s">
        <v>113</v>
      </c>
      <c r="J37" s="25" t="s">
        <v>110</v>
      </c>
      <c r="K37" s="29" t="s">
        <v>0</v>
      </c>
      <c r="L37" s="30" t="s">
        <v>1</v>
      </c>
      <c r="M37" s="33"/>
      <c r="N37" s="29" t="s">
        <v>0</v>
      </c>
      <c r="O37" s="30" t="s">
        <v>1</v>
      </c>
      <c r="P37" s="27"/>
      <c r="Q37" s="18"/>
      <c r="S37" s="41">
        <v>2014</v>
      </c>
      <c r="T37" s="94">
        <f>L38/M38</f>
        <v>0.35944291924044841</v>
      </c>
      <c r="U37" s="94">
        <f>O38/P38</f>
        <v>0.10170119686939082</v>
      </c>
      <c r="V37" s="94">
        <f>(L38+O38)/Q38</f>
        <v>0.26668933143297985</v>
      </c>
    </row>
    <row r="38" spans="1:22" x14ac:dyDescent="0.2">
      <c r="A38" s="157" t="s">
        <v>110</v>
      </c>
      <c r="B38" s="158" t="s">
        <v>1</v>
      </c>
      <c r="C38" s="158"/>
      <c r="D38" s="158" t="s">
        <v>1</v>
      </c>
      <c r="E38" s="158"/>
      <c r="F38" s="158"/>
      <c r="J38" s="26">
        <v>2014</v>
      </c>
      <c r="K38" s="42">
        <v>156793</v>
      </c>
      <c r="L38" s="43">
        <v>87983</v>
      </c>
      <c r="M38" s="44">
        <v>244776</v>
      </c>
      <c r="N38" s="42">
        <v>123614</v>
      </c>
      <c r="O38" s="43">
        <v>13995</v>
      </c>
      <c r="P38" s="45">
        <v>137609</v>
      </c>
      <c r="Q38" s="20">
        <v>382385</v>
      </c>
      <c r="S38" s="26">
        <v>2015</v>
      </c>
      <c r="T38" s="92">
        <f>L39/M39</f>
        <v>0.37169447188002364</v>
      </c>
      <c r="U38" s="92">
        <f>O39/P39</f>
        <v>0.10769091757902505</v>
      </c>
      <c r="V38" s="94">
        <f>(L39+O39)/Q39</f>
        <v>0.27814465282947382</v>
      </c>
    </row>
    <row r="39" spans="1:22" x14ac:dyDescent="0.2">
      <c r="A39" s="158">
        <v>2014</v>
      </c>
      <c r="B39" s="159">
        <v>87983</v>
      </c>
      <c r="C39" s="159">
        <v>87983</v>
      </c>
      <c r="D39" s="159">
        <v>13995</v>
      </c>
      <c r="E39" s="159">
        <v>13995</v>
      </c>
      <c r="F39" s="159">
        <v>101978</v>
      </c>
      <c r="J39" s="26">
        <v>2015</v>
      </c>
      <c r="K39" s="42">
        <v>152038</v>
      </c>
      <c r="L39" s="43">
        <v>89943</v>
      </c>
      <c r="M39" s="44">
        <v>241981</v>
      </c>
      <c r="N39" s="42">
        <v>118504</v>
      </c>
      <c r="O39" s="43">
        <v>14302</v>
      </c>
      <c r="P39" s="45">
        <v>132806</v>
      </c>
      <c r="Q39" s="20">
        <v>374787</v>
      </c>
      <c r="S39" s="26">
        <v>2016</v>
      </c>
      <c r="T39" s="92">
        <f>L40/M40</f>
        <v>0.36359591848504447</v>
      </c>
      <c r="U39" s="92">
        <f>O40/P40</f>
        <v>0.11064875540880788</v>
      </c>
      <c r="V39" s="94">
        <f>(L40+O40)/Q40</f>
        <v>0.2742143859864094</v>
      </c>
    </row>
    <row r="40" spans="1:22" x14ac:dyDescent="0.2">
      <c r="A40" s="158">
        <v>2015</v>
      </c>
      <c r="B40" s="159">
        <v>89943</v>
      </c>
      <c r="C40" s="159">
        <v>89943</v>
      </c>
      <c r="D40" s="159">
        <v>14302</v>
      </c>
      <c r="E40" s="159">
        <v>14302</v>
      </c>
      <c r="F40" s="159">
        <v>104245</v>
      </c>
      <c r="J40" s="26">
        <v>2016</v>
      </c>
      <c r="K40" s="42">
        <v>154489</v>
      </c>
      <c r="L40" s="43">
        <v>88264</v>
      </c>
      <c r="M40" s="44">
        <v>242753</v>
      </c>
      <c r="N40" s="42">
        <v>117976</v>
      </c>
      <c r="O40" s="43">
        <v>14678</v>
      </c>
      <c r="P40" s="45">
        <v>132654</v>
      </c>
      <c r="Q40" s="20">
        <v>375407</v>
      </c>
      <c r="S40" s="26">
        <v>2017</v>
      </c>
      <c r="T40" s="92">
        <f>L41/M41</f>
        <v>0.36859126718103108</v>
      </c>
      <c r="U40" s="92">
        <f>O41/P41</f>
        <v>0.13994374120956399</v>
      </c>
      <c r="V40" s="94">
        <f>(L41+O41)/Q41</f>
        <v>0.28811970605349702</v>
      </c>
    </row>
    <row r="41" spans="1:22" x14ac:dyDescent="0.2">
      <c r="A41" s="158">
        <v>2016</v>
      </c>
      <c r="B41" s="159">
        <v>88264</v>
      </c>
      <c r="C41" s="159">
        <v>88264</v>
      </c>
      <c r="D41" s="159">
        <v>14678</v>
      </c>
      <c r="E41" s="159">
        <v>14678</v>
      </c>
      <c r="F41" s="159">
        <v>102942</v>
      </c>
      <c r="J41" s="26">
        <v>2017</v>
      </c>
      <c r="K41" s="42">
        <v>155408</v>
      </c>
      <c r="L41" s="43">
        <v>90721</v>
      </c>
      <c r="M41" s="44">
        <v>246129</v>
      </c>
      <c r="N41" s="42">
        <v>114962</v>
      </c>
      <c r="O41" s="43">
        <v>18706</v>
      </c>
      <c r="P41" s="45">
        <v>133668</v>
      </c>
      <c r="Q41" s="20">
        <v>379797</v>
      </c>
      <c r="S41" s="26">
        <v>2018</v>
      </c>
      <c r="T41" s="92">
        <f>L42/M42</f>
        <v>0.36665867367882005</v>
      </c>
      <c r="U41" s="92">
        <f>O42/P42</f>
        <v>0.16515879500191138</v>
      </c>
      <c r="V41" s="94">
        <f>(L42+O42)/Q42</f>
        <v>0.29581510567648767</v>
      </c>
    </row>
    <row r="42" spans="1:22" x14ac:dyDescent="0.2">
      <c r="A42" s="158">
        <v>2017</v>
      </c>
      <c r="B42" s="159">
        <v>90721</v>
      </c>
      <c r="C42" s="159">
        <v>90721</v>
      </c>
      <c r="D42" s="159">
        <v>18706</v>
      </c>
      <c r="E42" s="159">
        <v>18706</v>
      </c>
      <c r="F42" s="159">
        <v>109427</v>
      </c>
      <c r="J42" s="26">
        <v>2018</v>
      </c>
      <c r="K42" s="42">
        <v>155833</v>
      </c>
      <c r="L42" s="43">
        <v>90216</v>
      </c>
      <c r="M42" s="44">
        <v>246049</v>
      </c>
      <c r="N42" s="42">
        <v>111377</v>
      </c>
      <c r="O42" s="43">
        <v>22034</v>
      </c>
      <c r="P42" s="45">
        <v>133411</v>
      </c>
      <c r="Q42" s="20">
        <v>379460</v>
      </c>
    </row>
    <row r="43" spans="1:22" ht="16" thickBot="1" x14ac:dyDescent="0.25">
      <c r="A43" s="158">
        <v>2018</v>
      </c>
      <c r="B43" s="159">
        <v>90216</v>
      </c>
      <c r="C43" s="159">
        <v>90216</v>
      </c>
      <c r="D43" s="159">
        <v>22034</v>
      </c>
      <c r="E43" s="159">
        <v>22034</v>
      </c>
      <c r="F43" s="159">
        <v>112250</v>
      </c>
      <c r="J43" s="25" t="s">
        <v>113</v>
      </c>
      <c r="K43" s="31">
        <v>774561</v>
      </c>
      <c r="L43" s="32">
        <v>447127</v>
      </c>
      <c r="M43" s="34">
        <v>1221688</v>
      </c>
      <c r="N43" s="31">
        <v>586433</v>
      </c>
      <c r="O43" s="32">
        <v>83715</v>
      </c>
      <c r="P43" s="28">
        <v>670148</v>
      </c>
      <c r="Q43" s="21">
        <v>1891836</v>
      </c>
    </row>
    <row r="44" spans="1:22" x14ac:dyDescent="0.2">
      <c r="A44" s="158" t="s">
        <v>113</v>
      </c>
      <c r="B44" s="159">
        <v>447127</v>
      </c>
      <c r="C44" s="159">
        <v>447127</v>
      </c>
      <c r="D44" s="159">
        <v>83715</v>
      </c>
      <c r="E44" s="159">
        <v>83715</v>
      </c>
      <c r="F44" s="159">
        <v>530842</v>
      </c>
    </row>
  </sheetData>
  <mergeCells count="4">
    <mergeCell ref="M6:O6"/>
    <mergeCell ref="K36:L36"/>
    <mergeCell ref="N36:O36"/>
    <mergeCell ref="A1:H1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DE24-7F7B-E24B-AB0F-827C12EDD258}">
  <dimension ref="A1:J32"/>
  <sheetViews>
    <sheetView showGridLines="0" zoomScale="75" workbookViewId="0">
      <selection activeCell="C40" sqref="C40"/>
    </sheetView>
  </sheetViews>
  <sheetFormatPr baseColWidth="10" defaultRowHeight="15" x14ac:dyDescent="0.2"/>
  <cols>
    <col min="1" max="1" width="24.5" bestFit="1" customWidth="1"/>
    <col min="2" max="2" width="10.1640625" bestFit="1" customWidth="1"/>
    <col min="3" max="3" width="8.6640625" bestFit="1" customWidth="1"/>
    <col min="4" max="4" width="13.5" customWidth="1"/>
    <col min="6" max="6" width="24.5" bestFit="1" customWidth="1"/>
    <col min="7" max="8" width="8.6640625" bestFit="1" customWidth="1"/>
    <col min="9" max="9" width="10" bestFit="1" customWidth="1"/>
    <col min="10" max="10" width="15.1640625" bestFit="1" customWidth="1"/>
  </cols>
  <sheetData>
    <row r="1" spans="1:10" ht="16" x14ac:dyDescent="0.2">
      <c r="A1" s="123" t="s">
        <v>123</v>
      </c>
      <c r="B1" s="124"/>
      <c r="C1" s="124"/>
      <c r="D1" s="125"/>
    </row>
    <row r="3" spans="1:10" x14ac:dyDescent="0.2">
      <c r="A3" s="16" t="s">
        <v>114</v>
      </c>
      <c r="B3" s="16" t="s">
        <v>111</v>
      </c>
    </row>
    <row r="4" spans="1:10" x14ac:dyDescent="0.2">
      <c r="A4" s="16" t="s">
        <v>110</v>
      </c>
      <c r="B4" t="s">
        <v>0</v>
      </c>
      <c r="C4" t="s">
        <v>1</v>
      </c>
      <c r="D4" t="s">
        <v>113</v>
      </c>
      <c r="F4" s="18" t="s">
        <v>110</v>
      </c>
      <c r="G4" s="18" t="s">
        <v>0</v>
      </c>
      <c r="H4" s="18" t="s">
        <v>1</v>
      </c>
      <c r="I4" s="18" t="s">
        <v>113</v>
      </c>
      <c r="J4" s="18" t="s">
        <v>122</v>
      </c>
    </row>
    <row r="5" spans="1:10" x14ac:dyDescent="0.2">
      <c r="A5">
        <v>2014</v>
      </c>
      <c r="B5" s="17">
        <v>280407</v>
      </c>
      <c r="C5" s="17">
        <v>101978</v>
      </c>
      <c r="D5" s="17">
        <v>382385</v>
      </c>
      <c r="F5" s="19">
        <v>2014</v>
      </c>
      <c r="G5" s="20">
        <v>280407</v>
      </c>
      <c r="H5" s="20">
        <v>101978</v>
      </c>
      <c r="I5" s="20">
        <v>382385</v>
      </c>
      <c r="J5" s="92">
        <f>H5/I5</f>
        <v>0.26668933143297985</v>
      </c>
    </row>
    <row r="6" spans="1:10" x14ac:dyDescent="0.2">
      <c r="A6">
        <v>2015</v>
      </c>
      <c r="B6" s="17">
        <v>270542</v>
      </c>
      <c r="C6" s="17">
        <v>104245</v>
      </c>
      <c r="D6" s="17">
        <v>374787</v>
      </c>
      <c r="F6" s="19">
        <v>2015</v>
      </c>
      <c r="G6" s="20">
        <v>270542</v>
      </c>
      <c r="H6" s="20">
        <v>104245</v>
      </c>
      <c r="I6" s="20">
        <v>374787</v>
      </c>
      <c r="J6" s="92">
        <f>H6/I6</f>
        <v>0.27814465282947382</v>
      </c>
    </row>
    <row r="7" spans="1:10" x14ac:dyDescent="0.2">
      <c r="A7">
        <v>2016</v>
      </c>
      <c r="B7" s="17">
        <v>272465</v>
      </c>
      <c r="C7" s="17">
        <v>102942</v>
      </c>
      <c r="D7" s="17">
        <v>375407</v>
      </c>
      <c r="F7" s="19">
        <v>2016</v>
      </c>
      <c r="G7" s="20">
        <v>272465</v>
      </c>
      <c r="H7" s="20">
        <v>102942</v>
      </c>
      <c r="I7" s="20">
        <v>375407</v>
      </c>
      <c r="J7" s="92">
        <f>H7/I7</f>
        <v>0.2742143859864094</v>
      </c>
    </row>
    <row r="8" spans="1:10" x14ac:dyDescent="0.2">
      <c r="A8">
        <v>2017</v>
      </c>
      <c r="B8" s="17">
        <v>270370</v>
      </c>
      <c r="C8" s="17">
        <v>109427</v>
      </c>
      <c r="D8" s="17">
        <v>379797</v>
      </c>
      <c r="F8" s="19">
        <v>2017</v>
      </c>
      <c r="G8" s="20">
        <v>270370</v>
      </c>
      <c r="H8" s="20">
        <v>109427</v>
      </c>
      <c r="I8" s="20">
        <v>379797</v>
      </c>
      <c r="J8" s="92">
        <f>H8/I8</f>
        <v>0.28811970605349702</v>
      </c>
    </row>
    <row r="9" spans="1:10" x14ac:dyDescent="0.2">
      <c r="A9">
        <v>2018</v>
      </c>
      <c r="B9" s="17">
        <v>267210</v>
      </c>
      <c r="C9" s="17">
        <v>112250</v>
      </c>
      <c r="D9" s="17">
        <v>379460</v>
      </c>
      <c r="F9" s="19">
        <v>2018</v>
      </c>
      <c r="G9" s="20">
        <v>267210</v>
      </c>
      <c r="H9" s="20">
        <v>112250</v>
      </c>
      <c r="I9" s="20">
        <v>379460</v>
      </c>
      <c r="J9" s="93">
        <f>H9/I9</f>
        <v>0.29581510567648767</v>
      </c>
    </row>
    <row r="10" spans="1:10" x14ac:dyDescent="0.2">
      <c r="A10" t="s">
        <v>113</v>
      </c>
      <c r="B10" s="17">
        <v>1360994</v>
      </c>
      <c r="C10" s="17">
        <v>530842</v>
      </c>
      <c r="D10" s="17">
        <v>1891836</v>
      </c>
    </row>
    <row r="16" spans="1:10" ht="16" x14ac:dyDescent="0.2">
      <c r="A16" s="123" t="s">
        <v>124</v>
      </c>
      <c r="B16" s="124"/>
      <c r="C16" s="124"/>
      <c r="D16" s="125"/>
    </row>
    <row r="18" spans="1:10" x14ac:dyDescent="0.2">
      <c r="A18" s="16" t="s">
        <v>110</v>
      </c>
      <c r="B18" s="37">
        <v>2018</v>
      </c>
    </row>
    <row r="20" spans="1:10" x14ac:dyDescent="0.2">
      <c r="A20" s="16" t="s">
        <v>114</v>
      </c>
      <c r="B20" s="16" t="s">
        <v>111</v>
      </c>
      <c r="F20" s="122">
        <v>2018</v>
      </c>
      <c r="G20" s="122"/>
      <c r="H20" s="122"/>
      <c r="I20" s="122"/>
      <c r="J20" s="122"/>
    </row>
    <row r="21" spans="1:10" x14ac:dyDescent="0.2">
      <c r="A21" s="16" t="s">
        <v>2</v>
      </c>
      <c r="B21" t="s">
        <v>0</v>
      </c>
      <c r="C21" t="s">
        <v>1</v>
      </c>
      <c r="D21" t="s">
        <v>113</v>
      </c>
      <c r="F21" s="18" t="s">
        <v>2</v>
      </c>
      <c r="G21" s="18" t="s">
        <v>0</v>
      </c>
      <c r="H21" s="18" t="s">
        <v>1</v>
      </c>
      <c r="I21" s="18" t="s">
        <v>113</v>
      </c>
      <c r="J21" s="18" t="s">
        <v>122</v>
      </c>
    </row>
    <row r="22" spans="1:10" x14ac:dyDescent="0.2">
      <c r="A22" t="s">
        <v>6</v>
      </c>
      <c r="B22" s="17">
        <v>60515</v>
      </c>
      <c r="C22" s="17">
        <v>47939</v>
      </c>
      <c r="D22" s="17">
        <v>108454</v>
      </c>
      <c r="F22" s="19" t="s">
        <v>6</v>
      </c>
      <c r="G22" s="20">
        <v>60515</v>
      </c>
      <c r="H22" s="20">
        <v>47939</v>
      </c>
      <c r="I22" s="20">
        <v>108454</v>
      </c>
      <c r="J22" s="23">
        <f>H22/I22</f>
        <v>0.44202150220369929</v>
      </c>
    </row>
    <row r="23" spans="1:10" x14ac:dyDescent="0.2">
      <c r="A23" t="s">
        <v>7</v>
      </c>
      <c r="B23" s="17">
        <v>9164</v>
      </c>
      <c r="C23" s="17">
        <v>1512</v>
      </c>
      <c r="D23" s="17">
        <v>10676</v>
      </c>
      <c r="F23" s="19" t="s">
        <v>7</v>
      </c>
      <c r="G23" s="20">
        <v>9164</v>
      </c>
      <c r="H23" s="20">
        <v>1512</v>
      </c>
      <c r="I23" s="20">
        <v>10676</v>
      </c>
      <c r="J23" s="23">
        <f t="shared" ref="J23:J31" si="0">H23/I23</f>
        <v>0.14162607718246534</v>
      </c>
    </row>
    <row r="24" spans="1:10" x14ac:dyDescent="0.2">
      <c r="A24" t="s">
        <v>8</v>
      </c>
      <c r="B24" s="17">
        <v>6460</v>
      </c>
      <c r="C24" s="17">
        <v>2058</v>
      </c>
      <c r="D24" s="17">
        <v>8518</v>
      </c>
      <c r="F24" s="19" t="s">
        <v>8</v>
      </c>
      <c r="G24" s="20">
        <v>6460</v>
      </c>
      <c r="H24" s="20">
        <v>2058</v>
      </c>
      <c r="I24" s="20">
        <v>8518</v>
      </c>
      <c r="J24" s="23">
        <f t="shared" si="0"/>
        <v>0.24160601080065744</v>
      </c>
    </row>
    <row r="25" spans="1:10" x14ac:dyDescent="0.2">
      <c r="A25" t="s">
        <v>9</v>
      </c>
      <c r="B25" s="17">
        <v>97812</v>
      </c>
      <c r="C25" s="17">
        <v>48500</v>
      </c>
      <c r="D25" s="17">
        <v>146312</v>
      </c>
      <c r="F25" s="19" t="s">
        <v>9</v>
      </c>
      <c r="G25" s="20">
        <v>97812</v>
      </c>
      <c r="H25" s="20">
        <v>48500</v>
      </c>
      <c r="I25" s="20">
        <v>146312</v>
      </c>
      <c r="J25" s="23">
        <f t="shared" si="0"/>
        <v>0.33148340532560555</v>
      </c>
    </row>
    <row r="26" spans="1:10" x14ac:dyDescent="0.2">
      <c r="A26" t="s">
        <v>10</v>
      </c>
      <c r="B26" s="17">
        <v>11389</v>
      </c>
      <c r="C26" s="17">
        <v>813</v>
      </c>
      <c r="D26" s="17">
        <v>12202</v>
      </c>
      <c r="F26" s="19" t="s">
        <v>10</v>
      </c>
      <c r="G26" s="20">
        <v>11389</v>
      </c>
      <c r="H26" s="20">
        <v>813</v>
      </c>
      <c r="I26" s="20">
        <v>12202</v>
      </c>
      <c r="J26" s="23">
        <f t="shared" si="0"/>
        <v>6.6628421570234395E-2</v>
      </c>
    </row>
    <row r="27" spans="1:10" x14ac:dyDescent="0.2">
      <c r="A27" t="s">
        <v>11</v>
      </c>
      <c r="B27" s="17">
        <v>42477</v>
      </c>
      <c r="C27" s="17">
        <v>5021</v>
      </c>
      <c r="D27" s="17">
        <v>47498</v>
      </c>
      <c r="F27" s="19" t="s">
        <v>11</v>
      </c>
      <c r="G27" s="20">
        <v>42477</v>
      </c>
      <c r="H27" s="20">
        <v>5021</v>
      </c>
      <c r="I27" s="20">
        <v>47498</v>
      </c>
      <c r="J27" s="23">
        <f t="shared" si="0"/>
        <v>0.10570971409322498</v>
      </c>
    </row>
    <row r="28" spans="1:10" x14ac:dyDescent="0.2">
      <c r="A28" t="s">
        <v>12</v>
      </c>
      <c r="B28" s="17">
        <v>9394</v>
      </c>
      <c r="C28" s="17">
        <v>1553</v>
      </c>
      <c r="D28" s="17">
        <v>10947</v>
      </c>
      <c r="F28" s="19" t="s">
        <v>12</v>
      </c>
      <c r="G28" s="20">
        <v>9394</v>
      </c>
      <c r="H28" s="20">
        <v>1553</v>
      </c>
      <c r="I28" s="20">
        <v>10947</v>
      </c>
      <c r="J28" s="23">
        <f t="shared" si="0"/>
        <v>0.14186535123778204</v>
      </c>
    </row>
    <row r="29" spans="1:10" x14ac:dyDescent="0.2">
      <c r="A29" t="s">
        <v>13</v>
      </c>
      <c r="B29" s="17">
        <v>2447</v>
      </c>
      <c r="C29" s="17">
        <v>363</v>
      </c>
      <c r="D29" s="17">
        <v>2810</v>
      </c>
      <c r="F29" s="19" t="s">
        <v>13</v>
      </c>
      <c r="G29" s="20">
        <v>2447</v>
      </c>
      <c r="H29" s="20">
        <v>363</v>
      </c>
      <c r="I29" s="20">
        <v>2810</v>
      </c>
      <c r="J29" s="23">
        <f t="shared" si="0"/>
        <v>0.12918149466192172</v>
      </c>
    </row>
    <row r="30" spans="1:10" x14ac:dyDescent="0.2">
      <c r="A30" t="s">
        <v>14</v>
      </c>
      <c r="B30" s="17">
        <v>26181</v>
      </c>
      <c r="C30" s="17">
        <v>4343</v>
      </c>
      <c r="D30" s="17">
        <v>30524</v>
      </c>
      <c r="F30" s="19" t="s">
        <v>14</v>
      </c>
      <c r="G30" s="20">
        <v>26181</v>
      </c>
      <c r="H30" s="20">
        <v>4343</v>
      </c>
      <c r="I30" s="20">
        <v>30524</v>
      </c>
      <c r="J30" s="23">
        <f t="shared" si="0"/>
        <v>0.14228148342288036</v>
      </c>
    </row>
    <row r="31" spans="1:10" x14ac:dyDescent="0.2">
      <c r="A31" t="s">
        <v>15</v>
      </c>
      <c r="B31" s="17">
        <v>1371</v>
      </c>
      <c r="C31" s="17">
        <v>148</v>
      </c>
      <c r="D31" s="17">
        <v>1519</v>
      </c>
      <c r="F31" s="19" t="s">
        <v>15</v>
      </c>
      <c r="G31" s="20">
        <v>1371</v>
      </c>
      <c r="H31" s="20">
        <v>148</v>
      </c>
      <c r="I31" s="20">
        <v>1519</v>
      </c>
      <c r="J31" s="23">
        <f t="shared" si="0"/>
        <v>9.7432521395655031E-2</v>
      </c>
    </row>
    <row r="32" spans="1:10" x14ac:dyDescent="0.2">
      <c r="A32" t="s">
        <v>113</v>
      </c>
      <c r="B32" s="17">
        <v>267210</v>
      </c>
      <c r="C32" s="17">
        <v>112250</v>
      </c>
      <c r="D32" s="17">
        <v>379460</v>
      </c>
    </row>
  </sheetData>
  <mergeCells count="3">
    <mergeCell ref="F20:J20"/>
    <mergeCell ref="A1:D1"/>
    <mergeCell ref="A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68E9-AFD0-E946-87B4-36BF18371269}">
  <dimension ref="A1:N42"/>
  <sheetViews>
    <sheetView showGridLines="0" zoomScale="75" workbookViewId="0">
      <selection activeCell="L13" sqref="L13"/>
    </sheetView>
  </sheetViews>
  <sheetFormatPr baseColWidth="10" defaultRowHeight="15" x14ac:dyDescent="0.2"/>
  <cols>
    <col min="1" max="1" width="15.1640625" bestFit="1" customWidth="1"/>
    <col min="2" max="2" width="24.5" bestFit="1" customWidth="1"/>
    <col min="3" max="3" width="8.6640625" bestFit="1" customWidth="1"/>
    <col min="4" max="5" width="10" bestFit="1" customWidth="1"/>
    <col min="6" max="6" width="7" bestFit="1" customWidth="1"/>
    <col min="7" max="7" width="8.6640625" bestFit="1" customWidth="1"/>
    <col min="8" max="8" width="24.5" bestFit="1" customWidth="1"/>
    <col min="9" max="9" width="22" customWidth="1"/>
    <col min="10" max="10" width="13" bestFit="1" customWidth="1"/>
    <col min="11" max="11" width="10" bestFit="1" customWidth="1"/>
    <col min="12" max="12" width="15.33203125" bestFit="1" customWidth="1"/>
    <col min="13" max="13" width="14.83203125" bestFit="1" customWidth="1"/>
  </cols>
  <sheetData>
    <row r="1" spans="1:10" ht="16" x14ac:dyDescent="0.2">
      <c r="A1" s="123" t="s">
        <v>127</v>
      </c>
      <c r="B1" s="124"/>
      <c r="C1" s="124"/>
      <c r="D1" s="124"/>
      <c r="E1" s="124"/>
      <c r="F1" s="124"/>
      <c r="G1" s="124"/>
      <c r="H1" s="124"/>
      <c r="I1" s="125"/>
      <c r="J1" s="70"/>
    </row>
    <row r="3" spans="1:10" x14ac:dyDescent="0.2">
      <c r="A3" s="16" t="s">
        <v>110</v>
      </c>
      <c r="B3" s="37">
        <v>2018</v>
      </c>
    </row>
    <row r="5" spans="1:10" x14ac:dyDescent="0.2">
      <c r="A5" s="16" t="s">
        <v>114</v>
      </c>
      <c r="B5" s="16" t="s">
        <v>111</v>
      </c>
      <c r="F5" s="122">
        <v>2018</v>
      </c>
      <c r="G5" s="122"/>
      <c r="H5" s="122"/>
      <c r="I5" s="122"/>
      <c r="J5" s="122"/>
    </row>
    <row r="6" spans="1:10" x14ac:dyDescent="0.2">
      <c r="A6" s="16" t="s">
        <v>112</v>
      </c>
      <c r="B6" t="s">
        <v>0</v>
      </c>
      <c r="C6" t="s">
        <v>1</v>
      </c>
      <c r="D6" t="s">
        <v>113</v>
      </c>
      <c r="F6" s="18" t="s">
        <v>112</v>
      </c>
      <c r="G6" s="18" t="s">
        <v>0</v>
      </c>
      <c r="H6" s="18" t="s">
        <v>1</v>
      </c>
      <c r="I6" s="18" t="s">
        <v>113</v>
      </c>
      <c r="J6" s="18" t="s">
        <v>125</v>
      </c>
    </row>
    <row r="7" spans="1:10" x14ac:dyDescent="0.2">
      <c r="A7" t="s">
        <v>5</v>
      </c>
      <c r="B7" s="17">
        <v>155833</v>
      </c>
      <c r="C7" s="17">
        <v>90216</v>
      </c>
      <c r="D7" s="17">
        <v>246049</v>
      </c>
      <c r="F7" s="19" t="s">
        <v>5</v>
      </c>
      <c r="G7" s="20">
        <v>155833</v>
      </c>
      <c r="H7" s="20">
        <v>90216</v>
      </c>
      <c r="I7" s="20">
        <v>246049</v>
      </c>
      <c r="J7" s="23">
        <f>H7/I7</f>
        <v>0.36665867367882005</v>
      </c>
    </row>
    <row r="8" spans="1:10" x14ac:dyDescent="0.2">
      <c r="A8" t="s">
        <v>4</v>
      </c>
      <c r="B8" s="17">
        <v>111377</v>
      </c>
      <c r="C8" s="17">
        <v>22034</v>
      </c>
      <c r="D8" s="17">
        <v>133411</v>
      </c>
      <c r="F8" s="19" t="s">
        <v>4</v>
      </c>
      <c r="G8" s="20">
        <v>111377</v>
      </c>
      <c r="H8" s="20">
        <v>22034</v>
      </c>
      <c r="I8" s="20">
        <v>133411</v>
      </c>
      <c r="J8" s="23">
        <f>H8/I8</f>
        <v>0.16515879500191138</v>
      </c>
    </row>
    <row r="9" spans="1:10" x14ac:dyDescent="0.2">
      <c r="A9" t="s">
        <v>113</v>
      </c>
      <c r="B9" s="17">
        <v>267210</v>
      </c>
      <c r="C9" s="17">
        <v>112250</v>
      </c>
      <c r="D9" s="17">
        <v>379460</v>
      </c>
    </row>
    <row r="16" spans="1:10" ht="16" x14ac:dyDescent="0.2">
      <c r="A16" s="123" t="s">
        <v>128</v>
      </c>
      <c r="B16" s="124"/>
      <c r="C16" s="124"/>
      <c r="D16" s="124"/>
      <c r="E16" s="124"/>
      <c r="F16" s="124"/>
      <c r="G16" s="124"/>
      <c r="H16" s="124"/>
      <c r="I16" s="125"/>
    </row>
    <row r="18" spans="1:14" x14ac:dyDescent="0.2">
      <c r="A18" s="16" t="s">
        <v>110</v>
      </c>
      <c r="B18" s="37">
        <v>2018</v>
      </c>
    </row>
    <row r="20" spans="1:14" x14ac:dyDescent="0.2">
      <c r="A20" s="16" t="s">
        <v>114</v>
      </c>
      <c r="C20" s="16" t="s">
        <v>111</v>
      </c>
      <c r="G20" s="122">
        <v>2018</v>
      </c>
      <c r="H20" s="122"/>
      <c r="I20" s="122"/>
      <c r="J20" s="122"/>
      <c r="K20" s="122"/>
      <c r="L20" s="122"/>
    </row>
    <row r="21" spans="1:14" x14ac:dyDescent="0.2">
      <c r="A21" s="16" t="s">
        <v>112</v>
      </c>
      <c r="B21" s="16" t="s">
        <v>2</v>
      </c>
      <c r="C21" t="s">
        <v>0</v>
      </c>
      <c r="D21" t="s">
        <v>1</v>
      </c>
      <c r="E21" t="s">
        <v>113</v>
      </c>
      <c r="G21" s="65" t="s">
        <v>112</v>
      </c>
      <c r="H21" s="18" t="s">
        <v>2</v>
      </c>
      <c r="I21" s="18" t="s">
        <v>0</v>
      </c>
      <c r="J21" s="18" t="s">
        <v>1</v>
      </c>
      <c r="K21" s="18" t="s">
        <v>113</v>
      </c>
      <c r="L21" s="46" t="s">
        <v>126</v>
      </c>
    </row>
    <row r="22" spans="1:14" x14ac:dyDescent="0.2">
      <c r="A22" t="s">
        <v>5</v>
      </c>
      <c r="B22" t="s">
        <v>6</v>
      </c>
      <c r="C22" s="17">
        <v>44447</v>
      </c>
      <c r="D22" s="17">
        <v>39156</v>
      </c>
      <c r="E22" s="17">
        <v>83603</v>
      </c>
      <c r="G22" s="61" t="s">
        <v>5</v>
      </c>
      <c r="H22" s="60" t="s">
        <v>6</v>
      </c>
      <c r="I22" s="49">
        <v>44447</v>
      </c>
      <c r="J22" s="49">
        <v>39156</v>
      </c>
      <c r="K22" s="49">
        <v>83603</v>
      </c>
      <c r="L22" s="95">
        <f>J22/K22</f>
        <v>0.46835639869382678</v>
      </c>
    </row>
    <row r="23" spans="1:14" x14ac:dyDescent="0.2">
      <c r="B23" t="s">
        <v>7</v>
      </c>
      <c r="C23" s="17">
        <v>6868</v>
      </c>
      <c r="D23" s="17">
        <v>1399</v>
      </c>
      <c r="E23" s="17">
        <v>8267</v>
      </c>
      <c r="G23" s="63"/>
      <c r="H23" s="60" t="s">
        <v>7</v>
      </c>
      <c r="I23" s="49">
        <v>6868</v>
      </c>
      <c r="J23" s="49">
        <v>1399</v>
      </c>
      <c r="K23" s="49">
        <v>8267</v>
      </c>
      <c r="L23" s="95">
        <f>J23/K23</f>
        <v>0.16922704729647997</v>
      </c>
    </row>
    <row r="24" spans="1:14" x14ac:dyDescent="0.2">
      <c r="B24" t="s">
        <v>8</v>
      </c>
      <c r="C24" s="17">
        <v>3694</v>
      </c>
      <c r="D24" s="17">
        <v>1368</v>
      </c>
      <c r="E24" s="17">
        <v>5062</v>
      </c>
      <c r="G24" s="63"/>
      <c r="H24" s="60" t="s">
        <v>8</v>
      </c>
      <c r="I24" s="49">
        <v>3694</v>
      </c>
      <c r="J24" s="49">
        <v>1368</v>
      </c>
      <c r="K24" s="49">
        <v>5062</v>
      </c>
      <c r="L24" s="95">
        <f>J24/K24</f>
        <v>0.27024891347293561</v>
      </c>
    </row>
    <row r="25" spans="1:14" x14ac:dyDescent="0.2">
      <c r="B25" t="s">
        <v>9</v>
      </c>
      <c r="C25" s="17">
        <v>67660</v>
      </c>
      <c r="D25" s="17">
        <v>41002</v>
      </c>
      <c r="E25" s="17">
        <v>108662</v>
      </c>
      <c r="G25" s="63"/>
      <c r="H25" s="60" t="s">
        <v>9</v>
      </c>
      <c r="I25" s="49">
        <v>67660</v>
      </c>
      <c r="J25" s="49">
        <v>41002</v>
      </c>
      <c r="K25" s="49">
        <v>108662</v>
      </c>
      <c r="L25" s="95">
        <f>J25/K25</f>
        <v>0.37733522298503619</v>
      </c>
    </row>
    <row r="26" spans="1:14" x14ac:dyDescent="0.2">
      <c r="B26" t="s">
        <v>10</v>
      </c>
      <c r="C26" s="17">
        <v>5739</v>
      </c>
      <c r="D26" s="17">
        <v>699</v>
      </c>
      <c r="E26" s="17">
        <v>6438</v>
      </c>
      <c r="G26" s="63"/>
      <c r="H26" s="60" t="s">
        <v>10</v>
      </c>
      <c r="I26" s="49">
        <v>5739</v>
      </c>
      <c r="J26" s="49">
        <v>699</v>
      </c>
      <c r="K26" s="49">
        <v>6438</v>
      </c>
      <c r="L26" s="95">
        <f>J26/K26</f>
        <v>0.10857409133271202</v>
      </c>
      <c r="N26" s="17"/>
    </row>
    <row r="27" spans="1:14" x14ac:dyDescent="0.2">
      <c r="B27" t="s">
        <v>11</v>
      </c>
      <c r="C27" s="17">
        <v>15401</v>
      </c>
      <c r="D27" s="17">
        <v>3574</v>
      </c>
      <c r="E27" s="17">
        <v>18975</v>
      </c>
      <c r="G27" s="63"/>
      <c r="H27" s="60" t="s">
        <v>11</v>
      </c>
      <c r="I27" s="49">
        <v>15401</v>
      </c>
      <c r="J27" s="49">
        <v>3574</v>
      </c>
      <c r="K27" s="49">
        <v>18975</v>
      </c>
      <c r="L27" s="95">
        <f>J27/K27</f>
        <v>0.18835309617918314</v>
      </c>
    </row>
    <row r="28" spans="1:14" x14ac:dyDescent="0.2">
      <c r="B28" t="s">
        <v>12</v>
      </c>
      <c r="C28" s="17">
        <v>3814</v>
      </c>
      <c r="D28" s="17">
        <v>1251</v>
      </c>
      <c r="E28" s="17">
        <v>5065</v>
      </c>
      <c r="G28" s="63"/>
      <c r="H28" s="60" t="s">
        <v>12</v>
      </c>
      <c r="I28" s="49">
        <v>3814</v>
      </c>
      <c r="J28" s="49">
        <v>1251</v>
      </c>
      <c r="K28" s="49">
        <v>5065</v>
      </c>
      <c r="L28" s="95">
        <f>J28/K28</f>
        <v>0.24698914116485687</v>
      </c>
    </row>
    <row r="29" spans="1:14" x14ac:dyDescent="0.2">
      <c r="B29" t="s">
        <v>13</v>
      </c>
      <c r="C29" s="17">
        <v>1386</v>
      </c>
      <c r="D29" s="17">
        <v>292</v>
      </c>
      <c r="E29" s="17">
        <v>1678</v>
      </c>
      <c r="G29" s="63"/>
      <c r="H29" s="60" t="s">
        <v>13</v>
      </c>
      <c r="I29" s="49">
        <v>1386</v>
      </c>
      <c r="J29" s="49">
        <v>292</v>
      </c>
      <c r="K29" s="49">
        <v>1678</v>
      </c>
      <c r="L29" s="95">
        <f>J29/K29</f>
        <v>0.17401668653158522</v>
      </c>
    </row>
    <row r="30" spans="1:14" x14ac:dyDescent="0.2">
      <c r="B30" t="s">
        <v>14</v>
      </c>
      <c r="C30" s="17">
        <v>6037</v>
      </c>
      <c r="D30" s="17">
        <v>1345</v>
      </c>
      <c r="E30" s="17">
        <v>7382</v>
      </c>
      <c r="G30" s="63"/>
      <c r="H30" s="60" t="s">
        <v>14</v>
      </c>
      <c r="I30" s="49">
        <v>6037</v>
      </c>
      <c r="J30" s="49">
        <v>1345</v>
      </c>
      <c r="K30" s="49">
        <v>7382</v>
      </c>
      <c r="L30" s="95">
        <f>J30/K30</f>
        <v>0.18219994581414251</v>
      </c>
    </row>
    <row r="31" spans="1:14" x14ac:dyDescent="0.2">
      <c r="B31" t="s">
        <v>15</v>
      </c>
      <c r="C31" s="17">
        <v>787</v>
      </c>
      <c r="D31" s="17">
        <v>130</v>
      </c>
      <c r="E31" s="17">
        <v>917</v>
      </c>
      <c r="G31" s="63"/>
      <c r="H31" s="60" t="s">
        <v>15</v>
      </c>
      <c r="I31" s="49">
        <v>787</v>
      </c>
      <c r="J31" s="49">
        <v>130</v>
      </c>
      <c r="K31" s="49">
        <v>917</v>
      </c>
      <c r="L31" s="95">
        <f>J31/K31</f>
        <v>0.14176663031624864</v>
      </c>
    </row>
    <row r="32" spans="1:14" x14ac:dyDescent="0.2">
      <c r="A32" t="s">
        <v>4</v>
      </c>
      <c r="B32" t="s">
        <v>6</v>
      </c>
      <c r="C32" s="17">
        <v>16068</v>
      </c>
      <c r="D32" s="17">
        <v>8783</v>
      </c>
      <c r="E32" s="17">
        <v>24851</v>
      </c>
      <c r="G32" s="68" t="s">
        <v>4</v>
      </c>
      <c r="H32" s="66" t="s">
        <v>6</v>
      </c>
      <c r="I32" s="52">
        <v>16068</v>
      </c>
      <c r="J32" s="52">
        <v>8783</v>
      </c>
      <c r="K32" s="52">
        <v>24851</v>
      </c>
      <c r="L32" s="96">
        <f>J32/K32</f>
        <v>0.35342642147197295</v>
      </c>
    </row>
    <row r="33" spans="1:12" x14ac:dyDescent="0.2">
      <c r="B33" t="s">
        <v>7</v>
      </c>
      <c r="C33" s="17">
        <v>2296</v>
      </c>
      <c r="D33" s="17">
        <v>113</v>
      </c>
      <c r="E33" s="17">
        <v>2409</v>
      </c>
      <c r="G33" s="67"/>
      <c r="H33" s="66" t="s">
        <v>7</v>
      </c>
      <c r="I33" s="52">
        <v>2296</v>
      </c>
      <c r="J33" s="52">
        <v>113</v>
      </c>
      <c r="K33" s="52">
        <v>2409</v>
      </c>
      <c r="L33" s="96">
        <f>J33/K33</f>
        <v>4.6907430469074307E-2</v>
      </c>
    </row>
    <row r="34" spans="1:12" x14ac:dyDescent="0.2">
      <c r="B34" t="s">
        <v>8</v>
      </c>
      <c r="C34" s="17">
        <v>2766</v>
      </c>
      <c r="D34" s="17">
        <v>690</v>
      </c>
      <c r="E34" s="17">
        <v>3456</v>
      </c>
      <c r="G34" s="67"/>
      <c r="H34" s="66" t="s">
        <v>8</v>
      </c>
      <c r="I34" s="52">
        <v>2766</v>
      </c>
      <c r="J34" s="52">
        <v>690</v>
      </c>
      <c r="K34" s="52">
        <v>3456</v>
      </c>
      <c r="L34" s="96">
        <f>J34/K34</f>
        <v>0.19965277777777779</v>
      </c>
    </row>
    <row r="35" spans="1:12" x14ac:dyDescent="0.2">
      <c r="B35" t="s">
        <v>9</v>
      </c>
      <c r="C35" s="17">
        <v>30152</v>
      </c>
      <c r="D35" s="17">
        <v>7498</v>
      </c>
      <c r="E35" s="17">
        <v>37650</v>
      </c>
      <c r="G35" s="67"/>
      <c r="H35" s="66" t="s">
        <v>9</v>
      </c>
      <c r="I35" s="52">
        <v>30152</v>
      </c>
      <c r="J35" s="52">
        <v>7498</v>
      </c>
      <c r="K35" s="52">
        <v>37650</v>
      </c>
      <c r="L35" s="96">
        <f>J35/K35</f>
        <v>0.19915006640106242</v>
      </c>
    </row>
    <row r="36" spans="1:12" x14ac:dyDescent="0.2">
      <c r="B36" t="s">
        <v>10</v>
      </c>
      <c r="C36" s="17">
        <v>5650</v>
      </c>
      <c r="D36" s="17">
        <v>114</v>
      </c>
      <c r="E36" s="17">
        <v>5764</v>
      </c>
      <c r="G36" s="67"/>
      <c r="H36" s="66" t="s">
        <v>10</v>
      </c>
      <c r="I36" s="52">
        <v>5650</v>
      </c>
      <c r="J36" s="52">
        <v>114</v>
      </c>
      <c r="K36" s="52">
        <v>5764</v>
      </c>
      <c r="L36" s="96">
        <f>J36/K36</f>
        <v>1.9777931991672451E-2</v>
      </c>
    </row>
    <row r="37" spans="1:12" x14ac:dyDescent="0.2">
      <c r="B37" t="s">
        <v>11</v>
      </c>
      <c r="C37" s="17">
        <v>27076</v>
      </c>
      <c r="D37" s="17">
        <v>1447</v>
      </c>
      <c r="E37" s="17">
        <v>28523</v>
      </c>
      <c r="G37" s="67"/>
      <c r="H37" s="66" t="s">
        <v>11</v>
      </c>
      <c r="I37" s="52">
        <v>27076</v>
      </c>
      <c r="J37" s="52">
        <v>1447</v>
      </c>
      <c r="K37" s="52">
        <v>28523</v>
      </c>
      <c r="L37" s="96">
        <f>J37/K37</f>
        <v>5.0730989026399748E-2</v>
      </c>
    </row>
    <row r="38" spans="1:12" x14ac:dyDescent="0.2">
      <c r="B38" t="s">
        <v>12</v>
      </c>
      <c r="C38" s="17">
        <v>5580</v>
      </c>
      <c r="D38" s="17">
        <v>302</v>
      </c>
      <c r="E38" s="17">
        <v>5882</v>
      </c>
      <c r="G38" s="67"/>
      <c r="H38" s="66" t="s">
        <v>12</v>
      </c>
      <c r="I38" s="52">
        <v>5580</v>
      </c>
      <c r="J38" s="52">
        <v>302</v>
      </c>
      <c r="K38" s="52">
        <v>5882</v>
      </c>
      <c r="L38" s="96">
        <f>J38/K38</f>
        <v>5.1343080584835089E-2</v>
      </c>
    </row>
    <row r="39" spans="1:12" x14ac:dyDescent="0.2">
      <c r="B39" t="s">
        <v>13</v>
      </c>
      <c r="C39" s="17">
        <v>1061</v>
      </c>
      <c r="D39" s="17">
        <v>71</v>
      </c>
      <c r="E39" s="17">
        <v>1132</v>
      </c>
      <c r="G39" s="67"/>
      <c r="H39" s="66" t="s">
        <v>13</v>
      </c>
      <c r="I39" s="52">
        <v>1061</v>
      </c>
      <c r="J39" s="52">
        <v>71</v>
      </c>
      <c r="K39" s="52">
        <v>1132</v>
      </c>
      <c r="L39" s="96">
        <f>J39/K39</f>
        <v>6.2720848056537104E-2</v>
      </c>
    </row>
    <row r="40" spans="1:12" x14ac:dyDescent="0.2">
      <c r="B40" t="s">
        <v>14</v>
      </c>
      <c r="C40" s="17">
        <v>20144</v>
      </c>
      <c r="D40" s="17">
        <v>2998</v>
      </c>
      <c r="E40" s="17">
        <v>23142</v>
      </c>
      <c r="G40" s="67"/>
      <c r="H40" s="66" t="s">
        <v>14</v>
      </c>
      <c r="I40" s="52">
        <v>20144</v>
      </c>
      <c r="J40" s="52">
        <v>2998</v>
      </c>
      <c r="K40" s="52">
        <v>23142</v>
      </c>
      <c r="L40" s="96">
        <f>J40/K40</f>
        <v>0.12954800795091176</v>
      </c>
    </row>
    <row r="41" spans="1:12" x14ac:dyDescent="0.2">
      <c r="B41" t="s">
        <v>15</v>
      </c>
      <c r="C41" s="17">
        <v>584</v>
      </c>
      <c r="D41" s="17">
        <v>18</v>
      </c>
      <c r="E41" s="17">
        <v>602</v>
      </c>
      <c r="G41" s="62"/>
      <c r="H41" s="66" t="s">
        <v>15</v>
      </c>
      <c r="I41" s="52">
        <v>584</v>
      </c>
      <c r="J41" s="52">
        <v>18</v>
      </c>
      <c r="K41" s="52">
        <v>602</v>
      </c>
      <c r="L41" s="96">
        <f>J41/K41</f>
        <v>2.9900332225913623E-2</v>
      </c>
    </row>
    <row r="42" spans="1:12" x14ac:dyDescent="0.2">
      <c r="A42" t="s">
        <v>113</v>
      </c>
      <c r="C42" s="17">
        <v>267210</v>
      </c>
      <c r="D42" s="17">
        <v>112250</v>
      </c>
      <c r="E42" s="17">
        <v>379460</v>
      </c>
    </row>
  </sheetData>
  <mergeCells count="4">
    <mergeCell ref="F5:J5"/>
    <mergeCell ref="G20:L20"/>
    <mergeCell ref="A1:I1"/>
    <mergeCell ref="A16:I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A3CE-E07E-A041-BD67-B66D07E30C13}">
  <dimension ref="A1:AG77"/>
  <sheetViews>
    <sheetView showGridLines="0" zoomScale="50" workbookViewId="0">
      <selection activeCell="AC69" sqref="AC69"/>
    </sheetView>
  </sheetViews>
  <sheetFormatPr baseColWidth="10" defaultRowHeight="15" x14ac:dyDescent="0.2"/>
  <cols>
    <col min="1" max="2" width="24.6640625" bestFit="1" customWidth="1"/>
    <col min="3" max="3" width="9.1640625" bestFit="1" customWidth="1"/>
    <col min="4" max="4" width="10.1640625" bestFit="1" customWidth="1"/>
    <col min="5" max="5" width="13.6640625" customWidth="1"/>
    <col min="6" max="6" width="9.5" bestFit="1" customWidth="1"/>
    <col min="7" max="7" width="9.1640625" bestFit="1" customWidth="1"/>
    <col min="8" max="8" width="9.5" bestFit="1" customWidth="1"/>
    <col min="9" max="9" width="10.1640625" bestFit="1" customWidth="1"/>
    <col min="10" max="10" width="28.5" customWidth="1"/>
    <col min="11" max="11" width="9" customWidth="1"/>
    <col min="12" max="12" width="24.5" bestFit="1" customWidth="1"/>
    <col min="13" max="13" width="9.5" bestFit="1" customWidth="1"/>
    <col min="14" max="15" width="9.1640625" bestFit="1" customWidth="1"/>
    <col min="16" max="16" width="10.1640625" bestFit="1" customWidth="1"/>
    <col min="17" max="17" width="10.5" bestFit="1" customWidth="1"/>
    <col min="18" max="18" width="9.83203125" bestFit="1" customWidth="1"/>
    <col min="19" max="19" width="24.5" bestFit="1" customWidth="1"/>
    <col min="20" max="21" width="15.33203125" bestFit="1" customWidth="1"/>
    <col min="22" max="22" width="19.5" customWidth="1"/>
    <col min="23" max="24" width="15.33203125" bestFit="1" customWidth="1"/>
    <col min="25" max="25" width="19" customWidth="1"/>
    <col min="26" max="26" width="17.5" customWidth="1"/>
    <col min="27" max="27" width="34.83203125" bestFit="1" customWidth="1"/>
    <col min="28" max="31" width="22.83203125" bestFit="1" customWidth="1"/>
    <col min="32" max="32" width="22.1640625" customWidth="1"/>
    <col min="33" max="33" width="21.1640625" customWidth="1"/>
  </cols>
  <sheetData>
    <row r="1" spans="1:11" ht="16" x14ac:dyDescent="0.2">
      <c r="A1" s="119" t="s">
        <v>134</v>
      </c>
      <c r="B1" s="120"/>
      <c r="C1" s="120"/>
      <c r="D1" s="120"/>
      <c r="E1" s="120"/>
      <c r="F1" s="120"/>
      <c r="G1" s="110"/>
      <c r="H1" s="15"/>
      <c r="I1" s="15"/>
    </row>
    <row r="3" spans="1:11" x14ac:dyDescent="0.2">
      <c r="A3" s="16" t="s">
        <v>114</v>
      </c>
      <c r="B3" s="16" t="s">
        <v>111</v>
      </c>
    </row>
    <row r="4" spans="1:11" x14ac:dyDescent="0.2">
      <c r="A4" s="16" t="s">
        <v>110</v>
      </c>
      <c r="B4" t="s">
        <v>0</v>
      </c>
      <c r="C4" t="s">
        <v>1</v>
      </c>
      <c r="D4" t="s">
        <v>113</v>
      </c>
      <c r="F4" s="18" t="s">
        <v>110</v>
      </c>
      <c r="G4" s="18" t="s">
        <v>0</v>
      </c>
      <c r="H4" s="18" t="s">
        <v>1</v>
      </c>
      <c r="I4" s="18" t="s">
        <v>113</v>
      </c>
      <c r="J4" s="18" t="s">
        <v>126</v>
      </c>
      <c r="K4" s="18" t="s">
        <v>129</v>
      </c>
    </row>
    <row r="5" spans="1:11" x14ac:dyDescent="0.2">
      <c r="A5">
        <v>2014</v>
      </c>
      <c r="B5" s="17">
        <v>280407</v>
      </c>
      <c r="C5" s="17">
        <v>101978</v>
      </c>
      <c r="D5" s="17">
        <v>382385</v>
      </c>
      <c r="F5" s="19">
        <v>2014</v>
      </c>
      <c r="G5" s="20">
        <v>280407</v>
      </c>
      <c r="H5" s="20">
        <v>101978</v>
      </c>
      <c r="I5" s="20">
        <v>382385</v>
      </c>
      <c r="J5" s="23">
        <f>H5/I5</f>
        <v>0.26668933143297985</v>
      </c>
      <c r="K5" s="19"/>
    </row>
    <row r="6" spans="1:11" x14ac:dyDescent="0.2">
      <c r="A6">
        <v>2015</v>
      </c>
      <c r="B6" s="17">
        <v>270542</v>
      </c>
      <c r="C6" s="17">
        <v>104245</v>
      </c>
      <c r="D6" s="17">
        <v>374787</v>
      </c>
      <c r="F6" s="19">
        <v>2015</v>
      </c>
      <c r="G6" s="20">
        <v>270542</v>
      </c>
      <c r="H6" s="20">
        <v>104245</v>
      </c>
      <c r="I6" s="20">
        <v>374787</v>
      </c>
      <c r="J6" s="23">
        <f t="shared" ref="J6:J9" si="0">H6/I6</f>
        <v>0.27814465282947382</v>
      </c>
      <c r="K6" s="38">
        <f>J6-J5</f>
        <v>1.1455321396493967E-2</v>
      </c>
    </row>
    <row r="7" spans="1:11" x14ac:dyDescent="0.2">
      <c r="A7">
        <v>2016</v>
      </c>
      <c r="B7" s="17">
        <v>272465</v>
      </c>
      <c r="C7" s="17">
        <v>102942</v>
      </c>
      <c r="D7" s="17">
        <v>375407</v>
      </c>
      <c r="F7" s="19">
        <v>2016</v>
      </c>
      <c r="G7" s="20">
        <v>272465</v>
      </c>
      <c r="H7" s="20">
        <v>102942</v>
      </c>
      <c r="I7" s="20">
        <v>375407</v>
      </c>
      <c r="J7" s="23">
        <f t="shared" si="0"/>
        <v>0.2742143859864094</v>
      </c>
      <c r="K7" s="38">
        <f>J7-J6</f>
        <v>-3.9302668430644117E-3</v>
      </c>
    </row>
    <row r="8" spans="1:11" x14ac:dyDescent="0.2">
      <c r="A8">
        <v>2017</v>
      </c>
      <c r="B8" s="17">
        <v>270370</v>
      </c>
      <c r="C8" s="17">
        <v>109427</v>
      </c>
      <c r="D8" s="17">
        <v>379797</v>
      </c>
      <c r="F8" s="19">
        <v>2017</v>
      </c>
      <c r="G8" s="20">
        <v>270370</v>
      </c>
      <c r="H8" s="20">
        <v>109427</v>
      </c>
      <c r="I8" s="20">
        <v>379797</v>
      </c>
      <c r="J8" s="23">
        <f>H8/I8</f>
        <v>0.28811970605349702</v>
      </c>
      <c r="K8" s="38">
        <f>J8-J7</f>
        <v>1.3905320067087612E-2</v>
      </c>
    </row>
    <row r="9" spans="1:11" x14ac:dyDescent="0.2">
      <c r="A9">
        <v>2018</v>
      </c>
      <c r="B9" s="17">
        <v>267210</v>
      </c>
      <c r="C9" s="17">
        <v>112250</v>
      </c>
      <c r="D9" s="17">
        <v>379460</v>
      </c>
      <c r="F9" s="19">
        <v>2018</v>
      </c>
      <c r="G9" s="20">
        <v>267210</v>
      </c>
      <c r="H9" s="20">
        <v>112250</v>
      </c>
      <c r="I9" s="20">
        <v>379460</v>
      </c>
      <c r="J9" s="23">
        <f t="shared" si="0"/>
        <v>0.29581510567648767</v>
      </c>
      <c r="K9" s="38">
        <f>J9-J8</f>
        <v>7.6953996229906507E-3</v>
      </c>
    </row>
    <row r="10" spans="1:11" x14ac:dyDescent="0.2">
      <c r="A10" t="s">
        <v>113</v>
      </c>
      <c r="B10" s="17">
        <v>1360994</v>
      </c>
      <c r="C10" s="17">
        <v>530842</v>
      </c>
      <c r="D10" s="17">
        <v>1891836</v>
      </c>
    </row>
    <row r="12" spans="1:11" x14ac:dyDescent="0.2">
      <c r="J12" s="47" t="s">
        <v>131</v>
      </c>
      <c r="K12" s="54">
        <f>J9-J5</f>
        <v>2.9125774243507818E-2</v>
      </c>
    </row>
    <row r="18" spans="1:28" ht="16" x14ac:dyDescent="0.2">
      <c r="A18" s="123" t="s">
        <v>135</v>
      </c>
      <c r="B18" s="124"/>
      <c r="C18" s="124"/>
      <c r="D18" s="124"/>
      <c r="E18" s="124"/>
      <c r="F18" s="112"/>
      <c r="G18" s="111"/>
    </row>
    <row r="19" spans="1:28" x14ac:dyDescent="0.2">
      <c r="T19" s="126">
        <v>2014</v>
      </c>
      <c r="U19" s="126">
        <v>2018</v>
      </c>
      <c r="V19" s="126" t="s">
        <v>130</v>
      </c>
    </row>
    <row r="20" spans="1:28" x14ac:dyDescent="0.2">
      <c r="A20" s="16" t="s">
        <v>114</v>
      </c>
      <c r="B20" s="16" t="s">
        <v>110</v>
      </c>
      <c r="C20" s="16" t="s">
        <v>111</v>
      </c>
      <c r="T20" s="127"/>
      <c r="U20" s="127"/>
      <c r="V20" s="127"/>
    </row>
    <row r="21" spans="1:28" x14ac:dyDescent="0.2">
      <c r="B21">
        <v>2014</v>
      </c>
      <c r="D21" t="s">
        <v>132</v>
      </c>
      <c r="E21">
        <v>2018</v>
      </c>
      <c r="G21" t="s">
        <v>133</v>
      </c>
      <c r="H21" t="s">
        <v>113</v>
      </c>
      <c r="J21" s="55"/>
      <c r="K21" s="136">
        <v>2014</v>
      </c>
      <c r="L21" s="137"/>
      <c r="M21" s="138" t="s">
        <v>132</v>
      </c>
      <c r="N21" s="136">
        <v>2018</v>
      </c>
      <c r="O21" s="137"/>
      <c r="P21" s="138" t="s">
        <v>133</v>
      </c>
      <c r="Q21" s="140" t="s">
        <v>113</v>
      </c>
      <c r="S21" s="144" t="s">
        <v>2</v>
      </c>
      <c r="T21" s="132" t="s">
        <v>126</v>
      </c>
      <c r="U21" s="134" t="s">
        <v>126</v>
      </c>
      <c r="V21" s="146" t="s">
        <v>167</v>
      </c>
    </row>
    <row r="22" spans="1:28" x14ac:dyDescent="0.2">
      <c r="A22" s="16" t="s">
        <v>2</v>
      </c>
      <c r="B22" t="s">
        <v>0</v>
      </c>
      <c r="C22" t="s">
        <v>1</v>
      </c>
      <c r="E22" t="s">
        <v>0</v>
      </c>
      <c r="F22" t="s">
        <v>1</v>
      </c>
      <c r="J22" s="18" t="s">
        <v>2</v>
      </c>
      <c r="K22" s="18" t="s">
        <v>0</v>
      </c>
      <c r="L22" s="18" t="s">
        <v>1</v>
      </c>
      <c r="M22" s="139"/>
      <c r="N22" s="18" t="s">
        <v>0</v>
      </c>
      <c r="O22" s="18" t="s">
        <v>1</v>
      </c>
      <c r="P22" s="139"/>
      <c r="Q22" s="141"/>
      <c r="S22" s="145"/>
      <c r="T22" s="133"/>
      <c r="U22" s="135"/>
      <c r="V22" s="147"/>
      <c r="Z22" s="160"/>
      <c r="AA22" s="160"/>
      <c r="AB22" s="160"/>
    </row>
    <row r="23" spans="1:28" x14ac:dyDescent="0.2">
      <c r="A23" t="s">
        <v>6</v>
      </c>
      <c r="B23" s="17">
        <v>61299</v>
      </c>
      <c r="C23" s="17">
        <v>40432</v>
      </c>
      <c r="D23" s="17">
        <v>101731</v>
      </c>
      <c r="E23" s="17">
        <v>60515</v>
      </c>
      <c r="F23" s="17">
        <v>47939</v>
      </c>
      <c r="G23" s="17">
        <v>108454</v>
      </c>
      <c r="H23" s="17">
        <v>210185</v>
      </c>
      <c r="J23" s="19" t="s">
        <v>6</v>
      </c>
      <c r="K23" s="20">
        <v>61299</v>
      </c>
      <c r="L23" s="20">
        <v>40432</v>
      </c>
      <c r="M23" s="56">
        <v>101731</v>
      </c>
      <c r="N23" s="20">
        <v>60515</v>
      </c>
      <c r="O23" s="20">
        <v>47939</v>
      </c>
      <c r="P23" s="56">
        <v>108454</v>
      </c>
      <c r="Q23" s="20">
        <v>210185</v>
      </c>
      <c r="S23" t="s">
        <v>6</v>
      </c>
      <c r="T23" s="98">
        <f>L23/M23</f>
        <v>0.39744030826395099</v>
      </c>
      <c r="U23" s="88">
        <f>O23/P23</f>
        <v>0.44202150220369929</v>
      </c>
      <c r="V23" s="106">
        <f>U23-T23</f>
        <v>4.4581193939748298E-2</v>
      </c>
      <c r="Z23" s="160"/>
      <c r="AA23" s="160"/>
      <c r="AB23" s="160"/>
    </row>
    <row r="24" spans="1:28" x14ac:dyDescent="0.2">
      <c r="A24" t="s">
        <v>7</v>
      </c>
      <c r="B24" s="17">
        <v>13792</v>
      </c>
      <c r="C24" s="17">
        <v>6864</v>
      </c>
      <c r="D24" s="17">
        <v>20656</v>
      </c>
      <c r="E24" s="17">
        <v>9164</v>
      </c>
      <c r="F24" s="17">
        <v>1512</v>
      </c>
      <c r="G24" s="17">
        <v>10676</v>
      </c>
      <c r="H24" s="17">
        <v>31332</v>
      </c>
      <c r="J24" s="19" t="s">
        <v>7</v>
      </c>
      <c r="K24" s="20">
        <v>13792</v>
      </c>
      <c r="L24" s="20">
        <v>6864</v>
      </c>
      <c r="M24" s="56">
        <v>20656</v>
      </c>
      <c r="N24" s="20">
        <v>9164</v>
      </c>
      <c r="O24" s="20">
        <v>1512</v>
      </c>
      <c r="P24" s="56">
        <v>10676</v>
      </c>
      <c r="Q24" s="20">
        <v>31332</v>
      </c>
      <c r="S24" t="s">
        <v>7</v>
      </c>
      <c r="T24" s="99">
        <f>L24/M24</f>
        <v>0.33230054221533695</v>
      </c>
      <c r="U24" s="100">
        <f>O24/P24</f>
        <v>0.14162607718246534</v>
      </c>
      <c r="V24" s="107">
        <f>U24-T24</f>
        <v>-0.19067446503287161</v>
      </c>
      <c r="Z24" s="160"/>
      <c r="AA24" s="160"/>
      <c r="AB24" s="160"/>
    </row>
    <row r="25" spans="1:28" x14ac:dyDescent="0.2">
      <c r="A25" t="s">
        <v>8</v>
      </c>
      <c r="B25" s="17">
        <v>6898</v>
      </c>
      <c r="C25" s="17">
        <v>740</v>
      </c>
      <c r="D25" s="17">
        <v>7638</v>
      </c>
      <c r="E25" s="17">
        <v>6460</v>
      </c>
      <c r="F25" s="17">
        <v>2058</v>
      </c>
      <c r="G25" s="17">
        <v>8518</v>
      </c>
      <c r="H25" s="17">
        <v>16156</v>
      </c>
      <c r="J25" s="19" t="s">
        <v>8</v>
      </c>
      <c r="K25" s="20">
        <v>6898</v>
      </c>
      <c r="L25" s="20">
        <v>740</v>
      </c>
      <c r="M25" s="56">
        <v>7638</v>
      </c>
      <c r="N25" s="20">
        <v>6460</v>
      </c>
      <c r="O25" s="20">
        <v>2058</v>
      </c>
      <c r="P25" s="56">
        <v>8518</v>
      </c>
      <c r="Q25" s="20">
        <v>16156</v>
      </c>
      <c r="S25" t="s">
        <v>8</v>
      </c>
      <c r="T25" s="98">
        <f>L25/M25</f>
        <v>9.68840010473946E-2</v>
      </c>
      <c r="U25" s="88">
        <f>O25/P25</f>
        <v>0.24160601080065744</v>
      </c>
      <c r="V25" s="106">
        <f>U25-T25</f>
        <v>0.14472200975326283</v>
      </c>
      <c r="Z25" s="160"/>
      <c r="AA25" s="160"/>
      <c r="AB25" s="160"/>
    </row>
    <row r="26" spans="1:28" x14ac:dyDescent="0.2">
      <c r="A26" t="s">
        <v>9</v>
      </c>
      <c r="B26" s="17">
        <v>94093</v>
      </c>
      <c r="C26" s="17">
        <v>41877</v>
      </c>
      <c r="D26" s="17">
        <v>135970</v>
      </c>
      <c r="E26" s="17">
        <v>97812</v>
      </c>
      <c r="F26" s="17">
        <v>48500</v>
      </c>
      <c r="G26" s="17">
        <v>146312</v>
      </c>
      <c r="H26" s="17">
        <v>282282</v>
      </c>
      <c r="J26" s="19" t="s">
        <v>9</v>
      </c>
      <c r="K26" s="20">
        <v>94093</v>
      </c>
      <c r="L26" s="20">
        <v>41877</v>
      </c>
      <c r="M26" s="56">
        <v>135970</v>
      </c>
      <c r="N26" s="20">
        <v>97812</v>
      </c>
      <c r="O26" s="20">
        <v>48500</v>
      </c>
      <c r="P26" s="56">
        <v>146312</v>
      </c>
      <c r="Q26" s="20">
        <v>282282</v>
      </c>
      <c r="S26" t="s">
        <v>9</v>
      </c>
      <c r="T26" s="99">
        <f>L26/M26</f>
        <v>0.30798705596822828</v>
      </c>
      <c r="U26" s="100">
        <f>O26/P26</f>
        <v>0.33148340532560555</v>
      </c>
      <c r="V26" s="107">
        <f>U26-T26</f>
        <v>2.3496349357377266E-2</v>
      </c>
      <c r="Z26" s="160"/>
      <c r="AA26" s="160"/>
      <c r="AB26" s="160"/>
    </row>
    <row r="27" spans="1:28" x14ac:dyDescent="0.2">
      <c r="A27" t="s">
        <v>10</v>
      </c>
      <c r="B27" s="17">
        <v>24797</v>
      </c>
      <c r="C27" s="17">
        <v>3442</v>
      </c>
      <c r="D27" s="17">
        <v>28239</v>
      </c>
      <c r="E27" s="17">
        <v>11389</v>
      </c>
      <c r="F27" s="17">
        <v>813</v>
      </c>
      <c r="G27" s="17">
        <v>12202</v>
      </c>
      <c r="H27" s="17">
        <v>40441</v>
      </c>
      <c r="J27" s="19" t="s">
        <v>10</v>
      </c>
      <c r="K27" s="20">
        <v>24797</v>
      </c>
      <c r="L27" s="20">
        <v>3442</v>
      </c>
      <c r="M27" s="56">
        <v>28239</v>
      </c>
      <c r="N27" s="20">
        <v>11389</v>
      </c>
      <c r="O27" s="20">
        <v>813</v>
      </c>
      <c r="P27" s="56">
        <v>12202</v>
      </c>
      <c r="Q27" s="20">
        <v>40441</v>
      </c>
      <c r="S27" t="s">
        <v>10</v>
      </c>
      <c r="T27" s="98">
        <f>L27/M27</f>
        <v>0.12188816884450583</v>
      </c>
      <c r="U27" s="88">
        <f>O27/P27</f>
        <v>6.6628421570234395E-2</v>
      </c>
      <c r="V27" s="106">
        <f>U27-T27</f>
        <v>-5.5259747274271437E-2</v>
      </c>
      <c r="Z27" s="160"/>
      <c r="AA27" s="160"/>
      <c r="AB27" s="160"/>
    </row>
    <row r="28" spans="1:28" x14ac:dyDescent="0.2">
      <c r="A28" t="s">
        <v>11</v>
      </c>
      <c r="B28" s="17">
        <v>40655</v>
      </c>
      <c r="C28" s="17">
        <v>3947</v>
      </c>
      <c r="D28" s="17">
        <v>44602</v>
      </c>
      <c r="E28" s="17">
        <v>42477</v>
      </c>
      <c r="F28" s="17">
        <v>5021</v>
      </c>
      <c r="G28" s="17">
        <v>47498</v>
      </c>
      <c r="H28" s="17">
        <v>92100</v>
      </c>
      <c r="J28" s="19" t="s">
        <v>11</v>
      </c>
      <c r="K28" s="20">
        <v>40655</v>
      </c>
      <c r="L28" s="20">
        <v>3947</v>
      </c>
      <c r="M28" s="56">
        <v>44602</v>
      </c>
      <c r="N28" s="20">
        <v>42477</v>
      </c>
      <c r="O28" s="20">
        <v>5021</v>
      </c>
      <c r="P28" s="56">
        <v>47498</v>
      </c>
      <c r="Q28" s="20">
        <v>92100</v>
      </c>
      <c r="S28" t="s">
        <v>11</v>
      </c>
      <c r="T28" s="99">
        <f>L28/M28</f>
        <v>8.8493789516165197E-2</v>
      </c>
      <c r="U28" s="100">
        <f>O28/P28</f>
        <v>0.10570971409322498</v>
      </c>
      <c r="V28" s="107">
        <f>U28-T28</f>
        <v>1.7215924577059782E-2</v>
      </c>
      <c r="Z28" s="160"/>
      <c r="AA28" s="160"/>
      <c r="AB28" s="160"/>
    </row>
    <row r="29" spans="1:28" x14ac:dyDescent="0.2">
      <c r="A29" t="s">
        <v>12</v>
      </c>
      <c r="B29" s="17">
        <v>8446</v>
      </c>
      <c r="C29" s="17">
        <v>1326</v>
      </c>
      <c r="D29" s="17">
        <v>9772</v>
      </c>
      <c r="E29" s="17">
        <v>9394</v>
      </c>
      <c r="F29" s="17">
        <v>1553</v>
      </c>
      <c r="G29" s="17">
        <v>10947</v>
      </c>
      <c r="H29" s="17">
        <v>20719</v>
      </c>
      <c r="J29" s="19" t="s">
        <v>12</v>
      </c>
      <c r="K29" s="20">
        <v>8446</v>
      </c>
      <c r="L29" s="20">
        <v>1326</v>
      </c>
      <c r="M29" s="56">
        <v>9772</v>
      </c>
      <c r="N29" s="20">
        <v>9394</v>
      </c>
      <c r="O29" s="20">
        <v>1553</v>
      </c>
      <c r="P29" s="56">
        <v>10947</v>
      </c>
      <c r="Q29" s="20">
        <v>20719</v>
      </c>
      <c r="S29" t="s">
        <v>12</v>
      </c>
      <c r="T29" s="98">
        <f>L29/M29</f>
        <v>0.13569381907490791</v>
      </c>
      <c r="U29" s="88">
        <f>O29/P29</f>
        <v>0.14186535123778204</v>
      </c>
      <c r="V29" s="106">
        <f>U29-T29</f>
        <v>6.1715321628741382E-3</v>
      </c>
      <c r="Z29" s="160"/>
      <c r="AA29" s="160"/>
      <c r="AB29" s="160"/>
    </row>
    <row r="30" spans="1:28" x14ac:dyDescent="0.2">
      <c r="A30" t="s">
        <v>13</v>
      </c>
      <c r="B30" s="17">
        <v>1777</v>
      </c>
      <c r="C30" s="17">
        <v>286</v>
      </c>
      <c r="D30" s="17">
        <v>2063</v>
      </c>
      <c r="E30" s="17">
        <v>2447</v>
      </c>
      <c r="F30" s="17">
        <v>363</v>
      </c>
      <c r="G30" s="17">
        <v>2810</v>
      </c>
      <c r="H30" s="17">
        <v>4873</v>
      </c>
      <c r="J30" s="19" t="s">
        <v>13</v>
      </c>
      <c r="K30" s="20">
        <v>1777</v>
      </c>
      <c r="L30" s="20">
        <v>286</v>
      </c>
      <c r="M30" s="56">
        <v>2063</v>
      </c>
      <c r="N30" s="20">
        <v>2447</v>
      </c>
      <c r="O30" s="20">
        <v>363</v>
      </c>
      <c r="P30" s="56">
        <v>2810</v>
      </c>
      <c r="Q30" s="20">
        <v>4873</v>
      </c>
      <c r="S30" t="s">
        <v>13</v>
      </c>
      <c r="T30" s="99">
        <f>L30/M30</f>
        <v>0.1386330586524479</v>
      </c>
      <c r="U30" s="100">
        <f>O30/P30</f>
        <v>0.12918149466192172</v>
      </c>
      <c r="V30" s="107">
        <f>U30-T30</f>
        <v>-9.451563990526185E-3</v>
      </c>
      <c r="Z30" s="160"/>
      <c r="AA30" s="160"/>
      <c r="AB30" s="160"/>
    </row>
    <row r="31" spans="1:28" x14ac:dyDescent="0.2">
      <c r="A31" t="s">
        <v>14</v>
      </c>
      <c r="B31" s="17">
        <v>26807</v>
      </c>
      <c r="C31" s="17">
        <v>2952</v>
      </c>
      <c r="D31" s="17">
        <v>29759</v>
      </c>
      <c r="E31" s="17">
        <v>26181</v>
      </c>
      <c r="F31" s="17">
        <v>4343</v>
      </c>
      <c r="G31" s="17">
        <v>30524</v>
      </c>
      <c r="H31" s="17">
        <v>60283</v>
      </c>
      <c r="J31" s="19" t="s">
        <v>14</v>
      </c>
      <c r="K31" s="20">
        <v>26807</v>
      </c>
      <c r="L31" s="20">
        <v>2952</v>
      </c>
      <c r="M31" s="56">
        <v>29759</v>
      </c>
      <c r="N31" s="20">
        <v>26181</v>
      </c>
      <c r="O31" s="20">
        <v>4343</v>
      </c>
      <c r="P31" s="56">
        <v>30524</v>
      </c>
      <c r="Q31" s="20">
        <v>60283</v>
      </c>
      <c r="S31" t="s">
        <v>14</v>
      </c>
      <c r="T31" s="98">
        <f>L31/M31</f>
        <v>9.9196881615645688E-2</v>
      </c>
      <c r="U31" s="88">
        <f>O31/P31</f>
        <v>0.14228148342288036</v>
      </c>
      <c r="V31" s="106">
        <f>U31-T31</f>
        <v>4.3084601807234668E-2</v>
      </c>
      <c r="Z31" s="160"/>
      <c r="AA31" s="160"/>
      <c r="AB31" s="160"/>
    </row>
    <row r="32" spans="1:28" x14ac:dyDescent="0.2">
      <c r="A32" t="s">
        <v>15</v>
      </c>
      <c r="B32" s="17">
        <v>1843</v>
      </c>
      <c r="C32" s="17">
        <v>112</v>
      </c>
      <c r="D32" s="17">
        <v>1955</v>
      </c>
      <c r="E32" s="17">
        <v>1371</v>
      </c>
      <c r="F32" s="17">
        <v>148</v>
      </c>
      <c r="G32" s="17">
        <v>1519</v>
      </c>
      <c r="H32" s="17">
        <v>3474</v>
      </c>
      <c r="J32" s="19" t="s">
        <v>15</v>
      </c>
      <c r="K32" s="20">
        <v>1843</v>
      </c>
      <c r="L32" s="20">
        <v>112</v>
      </c>
      <c r="M32" s="56">
        <v>1955</v>
      </c>
      <c r="N32" s="20">
        <v>1371</v>
      </c>
      <c r="O32" s="20">
        <v>148</v>
      </c>
      <c r="P32" s="56">
        <v>1519</v>
      </c>
      <c r="Q32" s="20">
        <v>3474</v>
      </c>
      <c r="S32" t="s">
        <v>15</v>
      </c>
      <c r="T32" s="99">
        <f>L32/M32</f>
        <v>5.7289002557544759E-2</v>
      </c>
      <c r="U32" s="100">
        <f>O32/P32</f>
        <v>9.7432521395655031E-2</v>
      </c>
      <c r="V32" s="107">
        <f>U32-T32</f>
        <v>4.0143518838110272E-2</v>
      </c>
    </row>
    <row r="33" spans="1:22" x14ac:dyDescent="0.2">
      <c r="A33" t="s">
        <v>113</v>
      </c>
      <c r="B33" s="17">
        <v>280407</v>
      </c>
      <c r="C33" s="17">
        <v>101978</v>
      </c>
      <c r="D33" s="17">
        <v>382385</v>
      </c>
      <c r="E33" s="17">
        <v>267210</v>
      </c>
      <c r="F33" s="17">
        <v>112250</v>
      </c>
      <c r="G33" s="17">
        <v>379460</v>
      </c>
      <c r="H33" s="17">
        <v>761845</v>
      </c>
      <c r="J33" s="18" t="s">
        <v>113</v>
      </c>
      <c r="K33" s="21">
        <v>280407</v>
      </c>
      <c r="L33" s="21">
        <v>101978</v>
      </c>
      <c r="M33" s="21">
        <v>382385</v>
      </c>
      <c r="N33" s="21">
        <v>267210</v>
      </c>
      <c r="O33" s="21">
        <v>112250</v>
      </c>
      <c r="P33" s="21">
        <v>379460</v>
      </c>
      <c r="Q33" s="21">
        <v>761845</v>
      </c>
      <c r="S33" s="101" t="s">
        <v>166</v>
      </c>
      <c r="T33" s="102">
        <f>L33/M33</f>
        <v>0.26668933143297985</v>
      </c>
      <c r="U33" s="103">
        <f>O33/P33</f>
        <v>0.29581510567648767</v>
      </c>
      <c r="V33" s="104">
        <f>U33-T33</f>
        <v>2.9125774243507818E-2</v>
      </c>
    </row>
    <row r="38" spans="1:22" ht="16" x14ac:dyDescent="0.2">
      <c r="A38" s="123" t="s">
        <v>136</v>
      </c>
      <c r="B38" s="124"/>
      <c r="C38" s="124"/>
      <c r="D38" s="124"/>
      <c r="E38" s="124"/>
      <c r="F38" s="124"/>
      <c r="G38" s="124"/>
      <c r="H38" s="124"/>
      <c r="I38" s="124"/>
      <c r="J38" s="125"/>
      <c r="K38" s="70"/>
    </row>
    <row r="40" spans="1:22" x14ac:dyDescent="0.2">
      <c r="A40" s="16" t="s">
        <v>114</v>
      </c>
      <c r="B40" s="16" t="s">
        <v>110</v>
      </c>
      <c r="C40" s="16" t="s">
        <v>111</v>
      </c>
    </row>
    <row r="41" spans="1:22" x14ac:dyDescent="0.2">
      <c r="B41">
        <v>2014</v>
      </c>
      <c r="D41" t="s">
        <v>132</v>
      </c>
      <c r="E41">
        <v>2018</v>
      </c>
      <c r="G41" t="s">
        <v>133</v>
      </c>
      <c r="H41" t="s">
        <v>113</v>
      </c>
      <c r="J41" s="18"/>
      <c r="K41" s="136">
        <v>2014</v>
      </c>
      <c r="L41" s="137"/>
      <c r="M41" s="138" t="s">
        <v>132</v>
      </c>
      <c r="N41" s="136">
        <v>2018</v>
      </c>
      <c r="O41" s="137"/>
      <c r="P41" s="138" t="s">
        <v>133</v>
      </c>
      <c r="Q41" s="140" t="s">
        <v>113</v>
      </c>
      <c r="S41" s="140" t="s">
        <v>112</v>
      </c>
      <c r="T41" s="39">
        <v>2014</v>
      </c>
      <c r="U41" s="39">
        <v>2018</v>
      </c>
      <c r="V41" s="142" t="s">
        <v>130</v>
      </c>
    </row>
    <row r="42" spans="1:22" x14ac:dyDescent="0.2">
      <c r="A42" s="16" t="s">
        <v>112</v>
      </c>
      <c r="B42" t="s">
        <v>0</v>
      </c>
      <c r="C42" t="s">
        <v>1</v>
      </c>
      <c r="E42" t="s">
        <v>0</v>
      </c>
      <c r="F42" t="s">
        <v>1</v>
      </c>
      <c r="J42" s="18" t="s">
        <v>112</v>
      </c>
      <c r="K42" s="18" t="s">
        <v>0</v>
      </c>
      <c r="L42" s="18" t="s">
        <v>1</v>
      </c>
      <c r="M42" s="139"/>
      <c r="N42" s="18" t="s">
        <v>0</v>
      </c>
      <c r="O42" s="18" t="s">
        <v>1</v>
      </c>
      <c r="P42" s="139"/>
      <c r="Q42" s="141"/>
      <c r="S42" s="141"/>
      <c r="T42" s="58" t="s">
        <v>126</v>
      </c>
      <c r="U42" s="58" t="s">
        <v>126</v>
      </c>
      <c r="V42" s="143"/>
    </row>
    <row r="43" spans="1:22" x14ac:dyDescent="0.2">
      <c r="A43" t="s">
        <v>5</v>
      </c>
      <c r="B43" s="17">
        <v>156793</v>
      </c>
      <c r="C43" s="17">
        <v>87983</v>
      </c>
      <c r="D43" s="17">
        <v>244776</v>
      </c>
      <c r="E43" s="17">
        <v>155833</v>
      </c>
      <c r="F43" s="17">
        <v>90216</v>
      </c>
      <c r="G43" s="17">
        <v>246049</v>
      </c>
      <c r="H43" s="17">
        <v>490825</v>
      </c>
      <c r="J43" s="19" t="s">
        <v>5</v>
      </c>
      <c r="K43" s="20">
        <v>156793</v>
      </c>
      <c r="L43" s="20">
        <v>87983</v>
      </c>
      <c r="M43" s="56">
        <v>244776</v>
      </c>
      <c r="N43" s="20">
        <v>155833</v>
      </c>
      <c r="O43" s="20">
        <v>90216</v>
      </c>
      <c r="P43" s="56">
        <v>246049</v>
      </c>
      <c r="Q43" s="20">
        <v>490825</v>
      </c>
      <c r="S43" s="19" t="s">
        <v>5</v>
      </c>
      <c r="T43" s="23">
        <f>L43/M43</f>
        <v>0.35944291924044841</v>
      </c>
      <c r="U43" s="23">
        <f>O43/P43</f>
        <v>0.36665867367882005</v>
      </c>
      <c r="V43" s="38">
        <f>U43-T43</f>
        <v>7.2157544383716354E-3</v>
      </c>
    </row>
    <row r="44" spans="1:22" x14ac:dyDescent="0.2">
      <c r="A44" t="s">
        <v>4</v>
      </c>
      <c r="B44" s="17">
        <v>123614</v>
      </c>
      <c r="C44" s="17">
        <v>13995</v>
      </c>
      <c r="D44" s="17">
        <v>137609</v>
      </c>
      <c r="E44" s="17">
        <v>111377</v>
      </c>
      <c r="F44" s="17">
        <v>22034</v>
      </c>
      <c r="G44" s="17">
        <v>133411</v>
      </c>
      <c r="H44" s="17">
        <v>271020</v>
      </c>
      <c r="J44" s="19" t="s">
        <v>4</v>
      </c>
      <c r="K44" s="20">
        <v>123614</v>
      </c>
      <c r="L44" s="20">
        <v>13995</v>
      </c>
      <c r="M44" s="56">
        <v>137609</v>
      </c>
      <c r="N44" s="20">
        <v>111377</v>
      </c>
      <c r="O44" s="20">
        <v>22034</v>
      </c>
      <c r="P44" s="56">
        <v>133411</v>
      </c>
      <c r="Q44" s="20">
        <v>271020</v>
      </c>
      <c r="S44" s="19" t="s">
        <v>4</v>
      </c>
      <c r="T44" s="23">
        <f>L44/M44</f>
        <v>0.10170119686939082</v>
      </c>
      <c r="U44" s="23">
        <f>O44/P44</f>
        <v>0.16515879500191138</v>
      </c>
      <c r="V44" s="38">
        <f>U44-T44</f>
        <v>6.3457598132520568E-2</v>
      </c>
    </row>
    <row r="45" spans="1:22" x14ac:dyDescent="0.2">
      <c r="A45" t="s">
        <v>113</v>
      </c>
      <c r="B45" s="17">
        <v>280407</v>
      </c>
      <c r="C45" s="17">
        <v>101978</v>
      </c>
      <c r="D45" s="17">
        <v>382385</v>
      </c>
      <c r="E45" s="17">
        <v>267210</v>
      </c>
      <c r="F45" s="17">
        <v>112250</v>
      </c>
      <c r="G45" s="17">
        <v>379460</v>
      </c>
      <c r="H45" s="17">
        <v>761845</v>
      </c>
    </row>
    <row r="50" spans="1:33" ht="16" x14ac:dyDescent="0.2">
      <c r="A50" s="123" t="s">
        <v>137</v>
      </c>
      <c r="B50" s="124"/>
      <c r="C50" s="124"/>
      <c r="D50" s="124"/>
      <c r="E50" s="124"/>
      <c r="F50" s="124"/>
      <c r="G50" s="124"/>
      <c r="H50" s="124"/>
      <c r="I50" s="124"/>
      <c r="J50" s="125"/>
      <c r="K50" s="70"/>
    </row>
    <row r="51" spans="1:33" x14ac:dyDescent="0.2">
      <c r="AA51" s="158"/>
      <c r="AB51" s="126" t="s">
        <v>169</v>
      </c>
      <c r="AC51" s="126" t="s">
        <v>170</v>
      </c>
      <c r="AD51" s="126" t="s">
        <v>171</v>
      </c>
      <c r="AE51" s="126" t="s">
        <v>172</v>
      </c>
      <c r="AF51" s="126" t="s">
        <v>168</v>
      </c>
      <c r="AG51" s="126" t="s">
        <v>168</v>
      </c>
    </row>
    <row r="52" spans="1:33" x14ac:dyDescent="0.2">
      <c r="A52" s="16" t="s">
        <v>114</v>
      </c>
      <c r="C52" s="16" t="s">
        <v>110</v>
      </c>
      <c r="D52" s="16" t="s">
        <v>111</v>
      </c>
      <c r="AA52" s="158"/>
      <c r="AB52" s="127"/>
      <c r="AC52" s="127"/>
      <c r="AD52" s="127"/>
      <c r="AE52" s="127"/>
      <c r="AF52" s="127"/>
      <c r="AG52" s="127"/>
    </row>
    <row r="53" spans="1:33" x14ac:dyDescent="0.2">
      <c r="C53">
        <v>2014</v>
      </c>
      <c r="E53" t="s">
        <v>132</v>
      </c>
      <c r="F53">
        <v>2018</v>
      </c>
      <c r="H53" t="s">
        <v>133</v>
      </c>
      <c r="I53" t="s">
        <v>113</v>
      </c>
      <c r="K53" s="18"/>
      <c r="L53" s="18"/>
      <c r="M53" s="18">
        <v>2014</v>
      </c>
      <c r="N53" s="18"/>
      <c r="O53" s="57" t="s">
        <v>132</v>
      </c>
      <c r="P53" s="18">
        <v>2018</v>
      </c>
      <c r="Q53" s="18"/>
      <c r="R53" s="57" t="s">
        <v>133</v>
      </c>
      <c r="S53" s="18" t="s">
        <v>113</v>
      </c>
      <c r="U53" s="140" t="s">
        <v>112</v>
      </c>
      <c r="V53" s="140" t="s">
        <v>2</v>
      </c>
      <c r="W53" s="39">
        <v>2014</v>
      </c>
      <c r="X53" s="39">
        <v>2018</v>
      </c>
      <c r="Y53" s="142" t="s">
        <v>130</v>
      </c>
      <c r="AA53" s="130" t="s">
        <v>2</v>
      </c>
      <c r="AB53" s="132" t="s">
        <v>126</v>
      </c>
      <c r="AC53" s="134" t="s">
        <v>126</v>
      </c>
      <c r="AD53" s="134" t="s">
        <v>126</v>
      </c>
      <c r="AE53" s="134" t="s">
        <v>126</v>
      </c>
      <c r="AF53" s="128" t="s">
        <v>173</v>
      </c>
      <c r="AG53" s="128" t="s">
        <v>174</v>
      </c>
    </row>
    <row r="54" spans="1:33" x14ac:dyDescent="0.2">
      <c r="A54" s="16" t="s">
        <v>112</v>
      </c>
      <c r="B54" s="16" t="s">
        <v>2</v>
      </c>
      <c r="C54" t="s">
        <v>0</v>
      </c>
      <c r="D54" t="s">
        <v>1</v>
      </c>
      <c r="F54" t="s">
        <v>0</v>
      </c>
      <c r="G54" t="s">
        <v>1</v>
      </c>
      <c r="K54" s="18" t="s">
        <v>112</v>
      </c>
      <c r="L54" s="18" t="s">
        <v>2</v>
      </c>
      <c r="M54" s="18" t="s">
        <v>0</v>
      </c>
      <c r="N54" s="18" t="s">
        <v>1</v>
      </c>
      <c r="O54" s="57"/>
      <c r="P54" s="18" t="s">
        <v>0</v>
      </c>
      <c r="Q54" s="18" t="s">
        <v>1</v>
      </c>
      <c r="R54" s="57"/>
      <c r="S54" s="18"/>
      <c r="U54" s="141"/>
      <c r="V54" s="141"/>
      <c r="W54" s="58" t="s">
        <v>126</v>
      </c>
      <c r="X54" s="58" t="s">
        <v>126</v>
      </c>
      <c r="Y54" s="143"/>
      <c r="AA54" s="131"/>
      <c r="AB54" s="133"/>
      <c r="AC54" s="135"/>
      <c r="AD54" s="135"/>
      <c r="AE54" s="135"/>
      <c r="AF54" s="129"/>
      <c r="AG54" s="129"/>
    </row>
    <row r="55" spans="1:33" x14ac:dyDescent="0.2">
      <c r="A55" t="s">
        <v>5</v>
      </c>
      <c r="B55" t="s">
        <v>6</v>
      </c>
      <c r="C55" s="17">
        <v>41926</v>
      </c>
      <c r="D55" s="17">
        <v>35549</v>
      </c>
      <c r="E55" s="17">
        <v>77475</v>
      </c>
      <c r="F55" s="17">
        <v>44447</v>
      </c>
      <c r="G55" s="17">
        <v>39156</v>
      </c>
      <c r="H55" s="17">
        <v>83603</v>
      </c>
      <c r="I55" s="17">
        <v>161078</v>
      </c>
      <c r="K55" s="24" t="s">
        <v>5</v>
      </c>
      <c r="L55" s="19" t="s">
        <v>6</v>
      </c>
      <c r="M55" s="20">
        <v>41926</v>
      </c>
      <c r="N55" s="20">
        <v>35549</v>
      </c>
      <c r="O55" s="56">
        <v>77475</v>
      </c>
      <c r="P55" s="20">
        <v>44447</v>
      </c>
      <c r="Q55" s="20">
        <v>39156</v>
      </c>
      <c r="R55" s="56">
        <v>83603</v>
      </c>
      <c r="S55" s="20">
        <v>161078</v>
      </c>
      <c r="U55" s="61" t="s">
        <v>5</v>
      </c>
      <c r="V55" s="48" t="s">
        <v>6</v>
      </c>
      <c r="W55" s="50">
        <f>$N$55/$O$55</f>
        <v>0.45884478864149725</v>
      </c>
      <c r="X55" s="50">
        <f>$Q$55/$R$55</f>
        <v>0.46835639869382678</v>
      </c>
      <c r="Y55" s="69">
        <f>$X$55-$W$55</f>
        <v>9.5116100523295333E-3</v>
      </c>
      <c r="AA55" s="162" t="s">
        <v>6</v>
      </c>
      <c r="AB55" s="97">
        <f>$N$55/$O$55</f>
        <v>0.45884478864149725</v>
      </c>
      <c r="AC55" s="97">
        <f>$Q$55/$R$55</f>
        <v>0.46835639869382678</v>
      </c>
      <c r="AD55" s="97">
        <f>$N$65/$O$65</f>
        <v>0.20131101583113456</v>
      </c>
      <c r="AE55" s="97">
        <f>$Q$65/$R$65</f>
        <v>0.35342642147197295</v>
      </c>
      <c r="AF55" s="163">
        <f>$X$55-$W$55</f>
        <v>9.5116100523295333E-3</v>
      </c>
      <c r="AG55" s="163">
        <f>$X$65-$W$65</f>
        <v>0.15211540564083839</v>
      </c>
    </row>
    <row r="56" spans="1:33" x14ac:dyDescent="0.2">
      <c r="B56" t="s">
        <v>7</v>
      </c>
      <c r="C56" s="17">
        <v>9943</v>
      </c>
      <c r="D56" s="17">
        <v>5819</v>
      </c>
      <c r="E56" s="17">
        <v>15762</v>
      </c>
      <c r="F56" s="17">
        <v>6868</v>
      </c>
      <c r="G56" s="17">
        <v>1399</v>
      </c>
      <c r="H56" s="17">
        <v>8267</v>
      </c>
      <c r="I56" s="17">
        <v>24029</v>
      </c>
      <c r="K56" s="24"/>
      <c r="L56" s="19" t="s">
        <v>7</v>
      </c>
      <c r="M56" s="20">
        <v>9943</v>
      </c>
      <c r="N56" s="20">
        <v>5819</v>
      </c>
      <c r="O56" s="56">
        <v>15762</v>
      </c>
      <c r="P56" s="20">
        <v>6868</v>
      </c>
      <c r="Q56" s="20">
        <v>1399</v>
      </c>
      <c r="R56" s="56">
        <v>8267</v>
      </c>
      <c r="S56" s="20">
        <v>24029</v>
      </c>
      <c r="U56" s="63"/>
      <c r="V56" s="60" t="s">
        <v>7</v>
      </c>
      <c r="W56" s="50">
        <f>$N$56/$O$56</f>
        <v>0.3691790381931227</v>
      </c>
      <c r="X56" s="50">
        <f>$Q$56/$R$56</f>
        <v>0.16922704729647997</v>
      </c>
      <c r="Y56" s="69">
        <f>$X$56-$W$56</f>
        <v>-0.19995199089664273</v>
      </c>
      <c r="AA56" s="162" t="s">
        <v>7</v>
      </c>
      <c r="AB56" s="100">
        <f>$N$56/$O$56</f>
        <v>0.3691790381931227</v>
      </c>
      <c r="AC56" s="100">
        <f>$Q$56/$R$56</f>
        <v>0.16922704729647997</v>
      </c>
      <c r="AD56" s="100">
        <f>$N$66/$O$66</f>
        <v>0.21352676747037189</v>
      </c>
      <c r="AE56" s="100">
        <f>$Q$66/$R$66</f>
        <v>4.6907430469074307E-2</v>
      </c>
      <c r="AF56" s="164">
        <f>$X$56-$W$56</f>
        <v>-0.19995199089664273</v>
      </c>
      <c r="AG56" s="164">
        <f>$X$66-$W$66</f>
        <v>-0.16661933700129758</v>
      </c>
    </row>
    <row r="57" spans="1:33" x14ac:dyDescent="0.2">
      <c r="B57" t="s">
        <v>8</v>
      </c>
      <c r="C57" s="17">
        <v>3513</v>
      </c>
      <c r="D57" s="17">
        <v>639</v>
      </c>
      <c r="E57" s="17">
        <v>4152</v>
      </c>
      <c r="F57" s="17">
        <v>3694</v>
      </c>
      <c r="G57" s="17">
        <v>1368</v>
      </c>
      <c r="H57" s="17">
        <v>5062</v>
      </c>
      <c r="I57" s="17">
        <v>9214</v>
      </c>
      <c r="K57" s="24"/>
      <c r="L57" s="19" t="s">
        <v>8</v>
      </c>
      <c r="M57" s="20">
        <v>3513</v>
      </c>
      <c r="N57" s="20">
        <v>639</v>
      </c>
      <c r="O57" s="56">
        <v>4152</v>
      </c>
      <c r="P57" s="20">
        <v>3694</v>
      </c>
      <c r="Q57" s="20">
        <v>1368</v>
      </c>
      <c r="R57" s="56">
        <v>5062</v>
      </c>
      <c r="S57" s="20">
        <v>9214</v>
      </c>
      <c r="U57" s="63"/>
      <c r="V57" s="60" t="s">
        <v>8</v>
      </c>
      <c r="W57" s="50">
        <f>$N$57/$O$57</f>
        <v>0.15390173410404626</v>
      </c>
      <c r="X57" s="50">
        <f>$Q$57/$R$57</f>
        <v>0.27024891347293561</v>
      </c>
      <c r="Y57" s="69">
        <f>$X$57-$W$57</f>
        <v>0.11634717936888936</v>
      </c>
      <c r="AA57" s="162" t="s">
        <v>8</v>
      </c>
      <c r="AB57" s="97">
        <f>$N$57/$O$57</f>
        <v>0.15390173410404626</v>
      </c>
      <c r="AC57" s="97">
        <f>$Q$57/$R$57</f>
        <v>0.27024891347293561</v>
      </c>
      <c r="AD57" s="97">
        <f>$N$67/$O$67</f>
        <v>2.8973034997131383E-2</v>
      </c>
      <c r="AE57" s="97">
        <f>$Q$67/$R$67</f>
        <v>0.19965277777777779</v>
      </c>
      <c r="AF57" s="163">
        <f>$X$57-$W$57</f>
        <v>0.11634717936888936</v>
      </c>
      <c r="AG57" s="163">
        <f>$X$67-$W$67</f>
        <v>0.1706797427806464</v>
      </c>
    </row>
    <row r="58" spans="1:33" x14ac:dyDescent="0.2">
      <c r="B58" t="s">
        <v>9</v>
      </c>
      <c r="C58" s="17">
        <v>64414</v>
      </c>
      <c r="D58" s="17">
        <v>36559</v>
      </c>
      <c r="E58" s="17">
        <v>100973</v>
      </c>
      <c r="F58" s="17">
        <v>67660</v>
      </c>
      <c r="G58" s="17">
        <v>41002</v>
      </c>
      <c r="H58" s="17">
        <v>108662</v>
      </c>
      <c r="I58" s="17">
        <v>209635</v>
      </c>
      <c r="K58" s="24"/>
      <c r="L58" s="19" t="s">
        <v>9</v>
      </c>
      <c r="M58" s="20">
        <v>64414</v>
      </c>
      <c r="N58" s="20">
        <v>36559</v>
      </c>
      <c r="O58" s="56">
        <v>100973</v>
      </c>
      <c r="P58" s="20">
        <v>67660</v>
      </c>
      <c r="Q58" s="20">
        <v>41002</v>
      </c>
      <c r="R58" s="56">
        <v>108662</v>
      </c>
      <c r="S58" s="20">
        <v>209635</v>
      </c>
      <c r="U58" s="63"/>
      <c r="V58" s="60" t="s">
        <v>9</v>
      </c>
      <c r="W58" s="50">
        <f>$N$58/$O$58</f>
        <v>0.36206708724114367</v>
      </c>
      <c r="X58" s="50">
        <f>$Q$58/$R$58</f>
        <v>0.37733522298503619</v>
      </c>
      <c r="Y58" s="69">
        <f>$X$58-$W$58</f>
        <v>1.5268135743892519E-2</v>
      </c>
      <c r="AA58" s="162" t="s">
        <v>9</v>
      </c>
      <c r="AB58" s="100">
        <f>$N$58/$O$58</f>
        <v>0.36206708724114367</v>
      </c>
      <c r="AC58" s="100">
        <f>$Q$58/$R$58</f>
        <v>0.37733522298503619</v>
      </c>
      <c r="AD58" s="100">
        <f>$N$68/$O$68</f>
        <v>0.1519558819327371</v>
      </c>
      <c r="AE58" s="100">
        <f>$Q$68/$R$68</f>
        <v>0.19915006640106242</v>
      </c>
      <c r="AF58" s="164">
        <f>$X$58-$W$58</f>
        <v>1.5268135743892519E-2</v>
      </c>
      <c r="AG58" s="164">
        <f>$X$68-$W$68</f>
        <v>4.7194184468325323E-2</v>
      </c>
    </row>
    <row r="59" spans="1:33" x14ac:dyDescent="0.2">
      <c r="B59" t="s">
        <v>10</v>
      </c>
      <c r="C59" s="17">
        <v>12713</v>
      </c>
      <c r="D59" s="17">
        <v>2788</v>
      </c>
      <c r="E59" s="17">
        <v>15501</v>
      </c>
      <c r="F59" s="17">
        <v>5739</v>
      </c>
      <c r="G59" s="17">
        <v>699</v>
      </c>
      <c r="H59" s="17">
        <v>6438</v>
      </c>
      <c r="I59" s="17">
        <v>21939</v>
      </c>
      <c r="K59" s="24"/>
      <c r="L59" s="19" t="s">
        <v>10</v>
      </c>
      <c r="M59" s="20">
        <v>12713</v>
      </c>
      <c r="N59" s="20">
        <v>2788</v>
      </c>
      <c r="O59" s="56">
        <v>15501</v>
      </c>
      <c r="P59" s="20">
        <v>5739</v>
      </c>
      <c r="Q59" s="20">
        <v>699</v>
      </c>
      <c r="R59" s="56">
        <v>6438</v>
      </c>
      <c r="S59" s="20">
        <v>21939</v>
      </c>
      <c r="U59" s="63"/>
      <c r="V59" s="60" t="s">
        <v>10</v>
      </c>
      <c r="W59" s="50">
        <f>$N$59/$O$59</f>
        <v>0.17985936391200569</v>
      </c>
      <c r="X59" s="50">
        <f>$Q$59/$R$59</f>
        <v>0.10857409133271202</v>
      </c>
      <c r="Y59" s="69">
        <f>$X$59-$W$59</f>
        <v>-7.1285272579293665E-2</v>
      </c>
      <c r="AA59" s="162" t="s">
        <v>10</v>
      </c>
      <c r="AB59" s="97">
        <f>$N$59/$O$59</f>
        <v>0.17985936391200569</v>
      </c>
      <c r="AC59" s="97">
        <f>$Q$59/$R$59</f>
        <v>0.10857409133271202</v>
      </c>
      <c r="AD59" s="97">
        <f>$N$69/$O$69</f>
        <v>5.134243994347621E-2</v>
      </c>
      <c r="AE59" s="97">
        <f>Q69/R69</f>
        <v>1.9777931991672451E-2</v>
      </c>
      <c r="AF59" s="163">
        <f>$X$59-$W$59</f>
        <v>-7.1285272579293665E-2</v>
      </c>
      <c r="AG59" s="163">
        <f>$X$69-$W$69</f>
        <v>-3.1564507951803759E-2</v>
      </c>
    </row>
    <row r="60" spans="1:33" x14ac:dyDescent="0.2">
      <c r="B60" t="s">
        <v>11</v>
      </c>
      <c r="C60" s="17">
        <v>13944</v>
      </c>
      <c r="D60" s="17">
        <v>3529</v>
      </c>
      <c r="E60" s="17">
        <v>17473</v>
      </c>
      <c r="F60" s="17">
        <v>15401</v>
      </c>
      <c r="G60" s="17">
        <v>3574</v>
      </c>
      <c r="H60" s="17">
        <v>18975</v>
      </c>
      <c r="I60" s="17">
        <v>36448</v>
      </c>
      <c r="K60" s="24"/>
      <c r="L60" s="19" t="s">
        <v>11</v>
      </c>
      <c r="M60" s="20">
        <v>13944</v>
      </c>
      <c r="N60" s="20">
        <v>3529</v>
      </c>
      <c r="O60" s="56">
        <v>17473</v>
      </c>
      <c r="P60" s="20">
        <v>15401</v>
      </c>
      <c r="Q60" s="20">
        <v>3574</v>
      </c>
      <c r="R60" s="56">
        <v>18975</v>
      </c>
      <c r="S60" s="20">
        <v>36448</v>
      </c>
      <c r="U60" s="63"/>
      <c r="V60" s="60" t="s">
        <v>11</v>
      </c>
      <c r="W60" s="50">
        <f>$N$60/$O$60</f>
        <v>0.20196875178847365</v>
      </c>
      <c r="X60" s="50">
        <f>$Q$60/$R$60</f>
        <v>0.18835309617918314</v>
      </c>
      <c r="Y60" s="69">
        <f>$X$60-$W$60</f>
        <v>-1.3615655609290511E-2</v>
      </c>
      <c r="AA60" s="162" t="s">
        <v>11</v>
      </c>
      <c r="AB60" s="100">
        <f>$N$60/$O$60</f>
        <v>0.20196875178847365</v>
      </c>
      <c r="AC60" s="100">
        <f>$Q$60/$R$60</f>
        <v>0.18835309617918314</v>
      </c>
      <c r="AD60" s="100">
        <f>$N$70/$O$70</f>
        <v>1.5407866121124995E-2</v>
      </c>
      <c r="AE60" s="100">
        <f>$Q$70/$R$70</f>
        <v>5.0730989026399748E-2</v>
      </c>
      <c r="AF60" s="164">
        <f>$X$60-$W$60</f>
        <v>-1.3615655609290511E-2</v>
      </c>
      <c r="AG60" s="164">
        <f>$X$70-$W$70</f>
        <v>3.5323122905274756E-2</v>
      </c>
    </row>
    <row r="61" spans="1:33" x14ac:dyDescent="0.2">
      <c r="B61" t="s">
        <v>12</v>
      </c>
      <c r="C61" s="17">
        <v>3039</v>
      </c>
      <c r="D61" s="17">
        <v>1032</v>
      </c>
      <c r="E61" s="17">
        <v>4071</v>
      </c>
      <c r="F61" s="17">
        <v>3814</v>
      </c>
      <c r="G61" s="17">
        <v>1251</v>
      </c>
      <c r="H61" s="17">
        <v>5065</v>
      </c>
      <c r="I61" s="17">
        <v>9136</v>
      </c>
      <c r="K61" s="24"/>
      <c r="L61" s="19" t="s">
        <v>12</v>
      </c>
      <c r="M61" s="20">
        <v>3039</v>
      </c>
      <c r="N61" s="20">
        <v>1032</v>
      </c>
      <c r="O61" s="56">
        <v>4071</v>
      </c>
      <c r="P61" s="20">
        <v>3814</v>
      </c>
      <c r="Q61" s="20">
        <v>1251</v>
      </c>
      <c r="R61" s="56">
        <v>5065</v>
      </c>
      <c r="S61" s="20">
        <v>9136</v>
      </c>
      <c r="U61" s="63"/>
      <c r="V61" s="60" t="s">
        <v>12</v>
      </c>
      <c r="W61" s="50">
        <f>$N$61/$O$61</f>
        <v>0.25350036845983787</v>
      </c>
      <c r="X61" s="50">
        <f>$Q$61/$R$61</f>
        <v>0.24698914116485687</v>
      </c>
      <c r="Y61" s="69">
        <f>$X$61-$W$61</f>
        <v>-6.5112272949809924E-3</v>
      </c>
      <c r="AA61" s="162" t="s">
        <v>12</v>
      </c>
      <c r="AB61" s="97">
        <f>$N$61/$O$61</f>
        <v>0.25350036845983787</v>
      </c>
      <c r="AC61" s="97">
        <f>$Q$61/$R$61</f>
        <v>0.24698914116485687</v>
      </c>
      <c r="AD61" s="97">
        <f>$N$71/$O$71</f>
        <v>5.1569900017540783E-2</v>
      </c>
      <c r="AE61" s="97">
        <f>$Q$71/$R$71</f>
        <v>5.1343080584835089E-2</v>
      </c>
      <c r="AF61" s="163">
        <f>$X$61-$W$61</f>
        <v>-6.5112272949809924E-3</v>
      </c>
      <c r="AG61" s="163">
        <f>$X$71-$W$71</f>
        <v>-2.2681943270569382E-4</v>
      </c>
    </row>
    <row r="62" spans="1:33" x14ac:dyDescent="0.2">
      <c r="B62" t="s">
        <v>13</v>
      </c>
      <c r="C62" s="17">
        <v>976</v>
      </c>
      <c r="D62" s="17">
        <v>219</v>
      </c>
      <c r="E62" s="17">
        <v>1195</v>
      </c>
      <c r="F62" s="17">
        <v>1386</v>
      </c>
      <c r="G62" s="17">
        <v>292</v>
      </c>
      <c r="H62" s="17">
        <v>1678</v>
      </c>
      <c r="I62" s="17">
        <v>2873</v>
      </c>
      <c r="K62" s="24"/>
      <c r="L62" s="19" t="s">
        <v>13</v>
      </c>
      <c r="M62" s="20">
        <v>976</v>
      </c>
      <c r="N62" s="20">
        <v>219</v>
      </c>
      <c r="O62" s="56">
        <v>1195</v>
      </c>
      <c r="P62" s="20">
        <v>1386</v>
      </c>
      <c r="Q62" s="20">
        <v>292</v>
      </c>
      <c r="R62" s="56">
        <v>1678</v>
      </c>
      <c r="S62" s="20">
        <v>2873</v>
      </c>
      <c r="U62" s="63"/>
      <c r="V62" s="60" t="s">
        <v>13</v>
      </c>
      <c r="W62" s="50">
        <f>$N$62/$O$62</f>
        <v>0.18326359832635983</v>
      </c>
      <c r="X62" s="50">
        <f>$Q$62/$R$62</f>
        <v>0.17401668653158522</v>
      </c>
      <c r="Y62" s="69">
        <f>$X$62-$W$62</f>
        <v>-9.2469117947746038E-3</v>
      </c>
      <c r="AA62" s="162" t="s">
        <v>13</v>
      </c>
      <c r="AB62" s="100">
        <f>$N$62/$O$62</f>
        <v>0.18326359832635983</v>
      </c>
      <c r="AC62" s="100">
        <f>$Q$62/$R$62</f>
        <v>0.17401668653158522</v>
      </c>
      <c r="AD62" s="100">
        <f>$N$72/$O$72</f>
        <v>7.7188940092165897E-2</v>
      </c>
      <c r="AE62" s="100">
        <f>$Q$72/$R$72</f>
        <v>6.2720848056537104E-2</v>
      </c>
      <c r="AF62" s="164">
        <f>$X$62-$W$62</f>
        <v>-9.2469117947746038E-3</v>
      </c>
      <c r="AG62" s="164">
        <f>$X$72-$W$72</f>
        <v>-1.4468092035628793E-2</v>
      </c>
    </row>
    <row r="63" spans="1:33" x14ac:dyDescent="0.2">
      <c r="B63" t="s">
        <v>14</v>
      </c>
      <c r="C63" s="17">
        <v>5178</v>
      </c>
      <c r="D63" s="17">
        <v>1754</v>
      </c>
      <c r="E63" s="17">
        <v>6932</v>
      </c>
      <c r="F63" s="17">
        <v>6037</v>
      </c>
      <c r="G63" s="17">
        <v>1345</v>
      </c>
      <c r="H63" s="17">
        <v>7382</v>
      </c>
      <c r="I63" s="17">
        <v>14314</v>
      </c>
      <c r="K63" s="24"/>
      <c r="L63" s="19" t="s">
        <v>14</v>
      </c>
      <c r="M63" s="20">
        <v>5178</v>
      </c>
      <c r="N63" s="20">
        <v>1754</v>
      </c>
      <c r="O63" s="56">
        <v>6932</v>
      </c>
      <c r="P63" s="20">
        <v>6037</v>
      </c>
      <c r="Q63" s="20">
        <v>1345</v>
      </c>
      <c r="R63" s="56">
        <v>7382</v>
      </c>
      <c r="S63" s="20">
        <v>14314</v>
      </c>
      <c r="U63" s="63"/>
      <c r="V63" s="60" t="s">
        <v>14</v>
      </c>
      <c r="W63" s="50">
        <f>$N$63/$O$63</f>
        <v>0.25302942873629541</v>
      </c>
      <c r="X63" s="50">
        <f>$Q$63/$R$63</f>
        <v>0.18219994581414251</v>
      </c>
      <c r="Y63" s="69">
        <f>$X$63-$W$63</f>
        <v>-7.0829482922152909E-2</v>
      </c>
      <c r="AA63" s="162" t="s">
        <v>14</v>
      </c>
      <c r="AB63" s="97">
        <f>$N$63/$O$63</f>
        <v>0.25302942873629541</v>
      </c>
      <c r="AC63" s="97">
        <f>$Q$63/$R$63</f>
        <v>0.18219994581414251</v>
      </c>
      <c r="AD63" s="97">
        <f>$N$73/$O$73</f>
        <v>5.2481710255399307E-2</v>
      </c>
      <c r="AE63" s="97">
        <f>$Q$73/$R$73</f>
        <v>0.12954800795091176</v>
      </c>
      <c r="AF63" s="163">
        <f>$X$63-$W$63</f>
        <v>-7.0829482922152909E-2</v>
      </c>
      <c r="AG63" s="163">
        <f>$X$73-$W$73</f>
        <v>7.7066297695512459E-2</v>
      </c>
    </row>
    <row r="64" spans="1:33" x14ac:dyDescent="0.2">
      <c r="B64" t="s">
        <v>15</v>
      </c>
      <c r="C64" s="17">
        <v>1147</v>
      </c>
      <c r="D64" s="17">
        <v>95</v>
      </c>
      <c r="E64" s="17">
        <v>1242</v>
      </c>
      <c r="F64" s="17">
        <v>787</v>
      </c>
      <c r="G64" s="17">
        <v>130</v>
      </c>
      <c r="H64" s="17">
        <v>917</v>
      </c>
      <c r="I64" s="17">
        <v>2159</v>
      </c>
      <c r="K64" s="24"/>
      <c r="L64" s="19" t="s">
        <v>15</v>
      </c>
      <c r="M64" s="20">
        <v>1147</v>
      </c>
      <c r="N64" s="20">
        <v>95</v>
      </c>
      <c r="O64" s="56">
        <v>1242</v>
      </c>
      <c r="P64" s="20">
        <v>787</v>
      </c>
      <c r="Q64" s="20">
        <v>130</v>
      </c>
      <c r="R64" s="56">
        <v>917</v>
      </c>
      <c r="S64" s="20">
        <v>2159</v>
      </c>
      <c r="U64" s="64"/>
      <c r="V64" s="60" t="s">
        <v>15</v>
      </c>
      <c r="W64" s="50">
        <f>$N$64/$O$64</f>
        <v>7.6489533011272148E-2</v>
      </c>
      <c r="X64" s="50">
        <f>$Q$64/$R$64</f>
        <v>0.14176663031624864</v>
      </c>
      <c r="Y64" s="69">
        <f>$X$64-$W$64</f>
        <v>6.5277097304976495E-2</v>
      </c>
      <c r="AA64" s="162" t="s">
        <v>15</v>
      </c>
      <c r="AB64" s="100">
        <f>$N$64/$O$64</f>
        <v>7.6489533011272148E-2</v>
      </c>
      <c r="AC64" s="100">
        <f>$Q$64/$R$64</f>
        <v>0.14176663031624864</v>
      </c>
      <c r="AD64" s="100">
        <f>$N$74/$O$74</f>
        <v>2.3842917251051893E-2</v>
      </c>
      <c r="AE64" s="100">
        <f>$Q$74/$R$74</f>
        <v>2.9900332225913623E-2</v>
      </c>
      <c r="AF64" s="164">
        <f>$X$64-$W$64</f>
        <v>6.5277097304976495E-2</v>
      </c>
      <c r="AG64" s="164">
        <f>$X$74-$W$74</f>
        <v>6.0574149748617301E-3</v>
      </c>
    </row>
    <row r="65" spans="1:33" x14ac:dyDescent="0.2">
      <c r="A65" t="s">
        <v>116</v>
      </c>
      <c r="C65" s="17">
        <v>156793</v>
      </c>
      <c r="D65" s="17">
        <v>87983</v>
      </c>
      <c r="E65" s="17">
        <v>244776</v>
      </c>
      <c r="F65" s="17">
        <v>155833</v>
      </c>
      <c r="G65" s="17">
        <v>90216</v>
      </c>
      <c r="H65" s="17">
        <v>246049</v>
      </c>
      <c r="I65" s="17">
        <v>490825</v>
      </c>
      <c r="K65" s="24" t="s">
        <v>4</v>
      </c>
      <c r="L65" s="19" t="s">
        <v>6</v>
      </c>
      <c r="M65" s="20">
        <v>19373</v>
      </c>
      <c r="N65" s="20">
        <v>4883</v>
      </c>
      <c r="O65" s="56">
        <v>24256</v>
      </c>
      <c r="P65" s="20">
        <v>16068</v>
      </c>
      <c r="Q65" s="20">
        <v>8783</v>
      </c>
      <c r="R65" s="56">
        <v>24851</v>
      </c>
      <c r="S65" s="20">
        <v>49107</v>
      </c>
      <c r="U65" s="67" t="s">
        <v>4</v>
      </c>
      <c r="V65" s="51" t="s">
        <v>6</v>
      </c>
      <c r="W65" s="53">
        <f>$N$65/$O$65</f>
        <v>0.20131101583113456</v>
      </c>
      <c r="X65" s="53">
        <f>$Q$65/$R$65</f>
        <v>0.35342642147197295</v>
      </c>
      <c r="Y65" s="59">
        <f>$X$65-$W$65</f>
        <v>0.15211540564083839</v>
      </c>
      <c r="AA65" s="108" t="s">
        <v>166</v>
      </c>
      <c r="AB65" s="109">
        <f>GETPIVOTDATA("Headcount",$A$52,"Year",2014,"PT/FT","Part-Time","Gender","Female")/GETPIVOTDATA("Headcount",$A$52,"Year",2014,"Gender","Female")</f>
        <v>0.35944291924044841</v>
      </c>
      <c r="AC65" s="109">
        <f>GETPIVOTDATA("Headcount",$A$52,"Year",2018,"PT/FT","Part-Time","Gender","Female")/GETPIVOTDATA("Headcount",$A$52,"Year",2018,"Gender","Female")</f>
        <v>0.36665867367882005</v>
      </c>
      <c r="AD65" s="109">
        <f>GETPIVOTDATA("Headcount",$A$52,"Year",2014,"PT/FT","Part-Time","Gender","Male")/GETPIVOTDATA("Headcount",$A$52,"Year",2014,"Gender","Male")</f>
        <v>0.10170119686939082</v>
      </c>
      <c r="AE65" s="109">
        <f>GETPIVOTDATA("Headcount",$A$52,"Year",2018,"PT/FT","Part-Time","Gender","Male")/GETPIVOTDATA("Headcount",$A$52,"Year",2018,"Gender","Male")</f>
        <v>0.16515879500191138</v>
      </c>
      <c r="AF65" s="109">
        <f>AC65-AB65</f>
        <v>7.2157544383716354E-3</v>
      </c>
      <c r="AG65" s="109">
        <f>AE65-AD65</f>
        <v>6.3457598132520568E-2</v>
      </c>
    </row>
    <row r="66" spans="1:33" ht="26" x14ac:dyDescent="0.3">
      <c r="A66" t="s">
        <v>4</v>
      </c>
      <c r="B66" t="s">
        <v>6</v>
      </c>
      <c r="C66" s="17">
        <v>19373</v>
      </c>
      <c r="D66" s="17">
        <v>4883</v>
      </c>
      <c r="E66" s="17">
        <v>24256</v>
      </c>
      <c r="F66" s="17">
        <v>16068</v>
      </c>
      <c r="G66" s="17">
        <v>8783</v>
      </c>
      <c r="H66" s="17">
        <v>24851</v>
      </c>
      <c r="I66" s="17">
        <v>49107</v>
      </c>
      <c r="K66" s="24"/>
      <c r="L66" s="19" t="s">
        <v>7</v>
      </c>
      <c r="M66" s="20">
        <v>3849</v>
      </c>
      <c r="N66" s="20">
        <v>1045</v>
      </c>
      <c r="O66" s="56">
        <v>4894</v>
      </c>
      <c r="P66" s="20">
        <v>2296</v>
      </c>
      <c r="Q66" s="20">
        <v>113</v>
      </c>
      <c r="R66" s="56">
        <v>2409</v>
      </c>
      <c r="S66" s="20">
        <v>7303</v>
      </c>
      <c r="U66" s="67"/>
      <c r="V66" s="66" t="s">
        <v>7</v>
      </c>
      <c r="W66" s="53">
        <f>$N$66/$O$66</f>
        <v>0.21352676747037189</v>
      </c>
      <c r="X66" s="53">
        <f>$Q$66/$R$66</f>
        <v>4.6907430469074307E-2</v>
      </c>
      <c r="Y66" s="59">
        <f>$X$66-$W$66</f>
        <v>-0.16661933700129758</v>
      </c>
      <c r="AA66" s="105"/>
      <c r="AB66" s="105"/>
      <c r="AC66" s="105"/>
      <c r="AD66" s="105"/>
      <c r="AE66" s="105"/>
      <c r="AF66" s="105"/>
      <c r="AG66" s="105"/>
    </row>
    <row r="67" spans="1:33" x14ac:dyDescent="0.2">
      <c r="B67" t="s">
        <v>7</v>
      </c>
      <c r="C67" s="17">
        <v>3849</v>
      </c>
      <c r="D67" s="17">
        <v>1045</v>
      </c>
      <c r="E67" s="17">
        <v>4894</v>
      </c>
      <c r="F67" s="17">
        <v>2296</v>
      </c>
      <c r="G67" s="17">
        <v>113</v>
      </c>
      <c r="H67" s="17">
        <v>2409</v>
      </c>
      <c r="I67" s="17">
        <v>7303</v>
      </c>
      <c r="K67" s="24"/>
      <c r="L67" s="19" t="s">
        <v>8</v>
      </c>
      <c r="M67" s="20">
        <v>3385</v>
      </c>
      <c r="N67" s="20">
        <v>101</v>
      </c>
      <c r="O67" s="56">
        <v>3486</v>
      </c>
      <c r="P67" s="20">
        <v>2766</v>
      </c>
      <c r="Q67" s="20">
        <v>690</v>
      </c>
      <c r="R67" s="56">
        <v>3456</v>
      </c>
      <c r="S67" s="20">
        <v>6942</v>
      </c>
      <c r="U67" s="67"/>
      <c r="V67" s="66" t="s">
        <v>8</v>
      </c>
      <c r="W67" s="53">
        <f>$N$67/$O$67</f>
        <v>2.8973034997131383E-2</v>
      </c>
      <c r="X67" s="53">
        <f>$Q$67/$R$67</f>
        <v>0.19965277777777779</v>
      </c>
      <c r="Y67" s="59">
        <f>$X$67-$W$67</f>
        <v>0.1706797427806464</v>
      </c>
    </row>
    <row r="68" spans="1:33" x14ac:dyDescent="0.2">
      <c r="B68" t="s">
        <v>8</v>
      </c>
      <c r="C68" s="17">
        <v>3385</v>
      </c>
      <c r="D68" s="17">
        <v>101</v>
      </c>
      <c r="E68" s="17">
        <v>3486</v>
      </c>
      <c r="F68" s="17">
        <v>2766</v>
      </c>
      <c r="G68" s="17">
        <v>690</v>
      </c>
      <c r="H68" s="17">
        <v>3456</v>
      </c>
      <c r="I68" s="17">
        <v>6942</v>
      </c>
      <c r="K68" s="24"/>
      <c r="L68" s="19" t="s">
        <v>9</v>
      </c>
      <c r="M68" s="20">
        <v>29679</v>
      </c>
      <c r="N68" s="20">
        <v>5318</v>
      </c>
      <c r="O68" s="56">
        <v>34997</v>
      </c>
      <c r="P68" s="20">
        <v>30152</v>
      </c>
      <c r="Q68" s="20">
        <v>7498</v>
      </c>
      <c r="R68" s="56">
        <v>37650</v>
      </c>
      <c r="S68" s="20">
        <v>72647</v>
      </c>
      <c r="U68" s="67"/>
      <c r="V68" s="66" t="s">
        <v>9</v>
      </c>
      <c r="W68" s="53">
        <f>$N$68/$O$68</f>
        <v>0.1519558819327371</v>
      </c>
      <c r="X68" s="53">
        <f>$Q$68/$R$68</f>
        <v>0.19915006640106242</v>
      </c>
      <c r="Y68" s="59">
        <f>$X$68-$W$68</f>
        <v>4.7194184468325323E-2</v>
      </c>
    </row>
    <row r="69" spans="1:33" x14ac:dyDescent="0.2">
      <c r="B69" t="s">
        <v>9</v>
      </c>
      <c r="C69" s="17">
        <v>29679</v>
      </c>
      <c r="D69" s="17">
        <v>5318</v>
      </c>
      <c r="E69" s="17">
        <v>34997</v>
      </c>
      <c r="F69" s="17">
        <v>30152</v>
      </c>
      <c r="G69" s="17">
        <v>7498</v>
      </c>
      <c r="H69" s="17">
        <v>37650</v>
      </c>
      <c r="I69" s="17">
        <v>72647</v>
      </c>
      <c r="K69" s="24"/>
      <c r="L69" s="19" t="s">
        <v>10</v>
      </c>
      <c r="M69" s="20">
        <v>12084</v>
      </c>
      <c r="N69" s="20">
        <v>654</v>
      </c>
      <c r="O69" s="56">
        <v>12738</v>
      </c>
      <c r="P69" s="20">
        <v>5650</v>
      </c>
      <c r="Q69" s="20">
        <v>114</v>
      </c>
      <c r="R69" s="56">
        <v>5764</v>
      </c>
      <c r="S69" s="20">
        <v>18502</v>
      </c>
      <c r="U69" s="67"/>
      <c r="V69" s="66" t="s">
        <v>10</v>
      </c>
      <c r="W69" s="53">
        <f>$N$69/$O$69</f>
        <v>5.134243994347621E-2</v>
      </c>
      <c r="X69" s="53">
        <f>Q69/R69</f>
        <v>1.9777931991672451E-2</v>
      </c>
      <c r="Y69" s="59">
        <f>$X$69-$W$69</f>
        <v>-3.1564507951803759E-2</v>
      </c>
    </row>
    <row r="70" spans="1:33" x14ac:dyDescent="0.2">
      <c r="B70" t="s">
        <v>10</v>
      </c>
      <c r="C70" s="17">
        <v>12084</v>
      </c>
      <c r="D70" s="17">
        <v>654</v>
      </c>
      <c r="E70" s="17">
        <v>12738</v>
      </c>
      <c r="F70" s="17">
        <v>5650</v>
      </c>
      <c r="G70" s="17">
        <v>114</v>
      </c>
      <c r="H70" s="17">
        <v>5764</v>
      </c>
      <c r="I70" s="17">
        <v>18502</v>
      </c>
      <c r="K70" s="24"/>
      <c r="L70" s="19" t="s">
        <v>11</v>
      </c>
      <c r="M70" s="20">
        <v>26711</v>
      </c>
      <c r="N70" s="20">
        <v>418</v>
      </c>
      <c r="O70" s="56">
        <v>27129</v>
      </c>
      <c r="P70" s="20">
        <v>27076</v>
      </c>
      <c r="Q70" s="20">
        <v>1447</v>
      </c>
      <c r="R70" s="56">
        <v>28523</v>
      </c>
      <c r="S70" s="20">
        <v>55652</v>
      </c>
      <c r="U70" s="67"/>
      <c r="V70" s="66" t="s">
        <v>11</v>
      </c>
      <c r="W70" s="53">
        <f>$N$70/$O$70</f>
        <v>1.5407866121124995E-2</v>
      </c>
      <c r="X70" s="53">
        <f>$Q$70/$R$70</f>
        <v>5.0730989026399748E-2</v>
      </c>
      <c r="Y70" s="59">
        <f>$X$70-$W$70</f>
        <v>3.5323122905274756E-2</v>
      </c>
    </row>
    <row r="71" spans="1:33" x14ac:dyDescent="0.2">
      <c r="B71" t="s">
        <v>11</v>
      </c>
      <c r="C71" s="17">
        <v>26711</v>
      </c>
      <c r="D71" s="17">
        <v>418</v>
      </c>
      <c r="E71" s="17">
        <v>27129</v>
      </c>
      <c r="F71" s="17">
        <v>27076</v>
      </c>
      <c r="G71" s="17">
        <v>1447</v>
      </c>
      <c r="H71" s="17">
        <v>28523</v>
      </c>
      <c r="I71" s="17">
        <v>55652</v>
      </c>
      <c r="K71" s="24"/>
      <c r="L71" s="19" t="s">
        <v>12</v>
      </c>
      <c r="M71" s="20">
        <v>5407</v>
      </c>
      <c r="N71" s="20">
        <v>294</v>
      </c>
      <c r="O71" s="56">
        <v>5701</v>
      </c>
      <c r="P71" s="20">
        <v>5580</v>
      </c>
      <c r="Q71" s="20">
        <v>302</v>
      </c>
      <c r="R71" s="56">
        <v>5882</v>
      </c>
      <c r="S71" s="20">
        <v>11583</v>
      </c>
      <c r="U71" s="67"/>
      <c r="V71" s="66" t="s">
        <v>12</v>
      </c>
      <c r="W71" s="53">
        <f>$N$71/$O$71</f>
        <v>5.1569900017540783E-2</v>
      </c>
      <c r="X71" s="53">
        <f>$Q$71/$R$71</f>
        <v>5.1343080584835089E-2</v>
      </c>
      <c r="Y71" s="59">
        <f>$X$71-$W$71</f>
        <v>-2.2681943270569382E-4</v>
      </c>
    </row>
    <row r="72" spans="1:33" x14ac:dyDescent="0.2">
      <c r="B72" t="s">
        <v>12</v>
      </c>
      <c r="C72" s="17">
        <v>5407</v>
      </c>
      <c r="D72" s="17">
        <v>294</v>
      </c>
      <c r="E72" s="17">
        <v>5701</v>
      </c>
      <c r="F72" s="17">
        <v>5580</v>
      </c>
      <c r="G72" s="17">
        <v>302</v>
      </c>
      <c r="H72" s="17">
        <v>5882</v>
      </c>
      <c r="I72" s="17">
        <v>11583</v>
      </c>
      <c r="K72" s="24"/>
      <c r="L72" s="19" t="s">
        <v>13</v>
      </c>
      <c r="M72" s="20">
        <v>801</v>
      </c>
      <c r="N72" s="20">
        <v>67</v>
      </c>
      <c r="O72" s="56">
        <v>868</v>
      </c>
      <c r="P72" s="20">
        <v>1061</v>
      </c>
      <c r="Q72" s="20">
        <v>71</v>
      </c>
      <c r="R72" s="56">
        <v>1132</v>
      </c>
      <c r="S72" s="20">
        <v>2000</v>
      </c>
      <c r="U72" s="67"/>
      <c r="V72" s="66" t="s">
        <v>13</v>
      </c>
      <c r="W72" s="53">
        <f>$N$72/$O$72</f>
        <v>7.7188940092165897E-2</v>
      </c>
      <c r="X72" s="53">
        <f>$Q$72/$R$72</f>
        <v>6.2720848056537104E-2</v>
      </c>
      <c r="Y72" s="59">
        <f>$X$72-$W$72</f>
        <v>-1.4468092035628793E-2</v>
      </c>
    </row>
    <row r="73" spans="1:33" x14ac:dyDescent="0.2">
      <c r="B73" t="s">
        <v>13</v>
      </c>
      <c r="C73" s="17">
        <v>801</v>
      </c>
      <c r="D73" s="17">
        <v>67</v>
      </c>
      <c r="E73" s="17">
        <v>868</v>
      </c>
      <c r="F73" s="17">
        <v>1061</v>
      </c>
      <c r="G73" s="17">
        <v>71</v>
      </c>
      <c r="H73" s="17">
        <v>1132</v>
      </c>
      <c r="I73" s="17">
        <v>2000</v>
      </c>
      <c r="K73" s="24"/>
      <c r="L73" s="19" t="s">
        <v>14</v>
      </c>
      <c r="M73" s="20">
        <v>21629</v>
      </c>
      <c r="N73" s="20">
        <v>1198</v>
      </c>
      <c r="O73" s="56">
        <v>22827</v>
      </c>
      <c r="P73" s="20">
        <v>20144</v>
      </c>
      <c r="Q73" s="20">
        <v>2998</v>
      </c>
      <c r="R73" s="56">
        <v>23142</v>
      </c>
      <c r="S73" s="20">
        <v>45969</v>
      </c>
      <c r="U73" s="67"/>
      <c r="V73" s="66" t="s">
        <v>14</v>
      </c>
      <c r="W73" s="53">
        <f>$N$73/$O$73</f>
        <v>5.2481710255399307E-2</v>
      </c>
      <c r="X73" s="53">
        <f>$Q$73/$R$73</f>
        <v>0.12954800795091176</v>
      </c>
      <c r="Y73" s="59">
        <f>$X$73-$W$73</f>
        <v>7.7066297695512459E-2</v>
      </c>
    </row>
    <row r="74" spans="1:33" x14ac:dyDescent="0.2">
      <c r="B74" t="s">
        <v>14</v>
      </c>
      <c r="C74" s="17">
        <v>21629</v>
      </c>
      <c r="D74" s="17">
        <v>1198</v>
      </c>
      <c r="E74" s="17">
        <v>22827</v>
      </c>
      <c r="F74" s="17">
        <v>20144</v>
      </c>
      <c r="G74" s="17">
        <v>2998</v>
      </c>
      <c r="H74" s="17">
        <v>23142</v>
      </c>
      <c r="I74" s="17">
        <v>45969</v>
      </c>
      <c r="K74" s="24"/>
      <c r="L74" s="19" t="s">
        <v>15</v>
      </c>
      <c r="M74" s="20">
        <v>696</v>
      </c>
      <c r="N74" s="20">
        <v>17</v>
      </c>
      <c r="O74" s="56">
        <v>713</v>
      </c>
      <c r="P74" s="20">
        <v>584</v>
      </c>
      <c r="Q74" s="20">
        <v>18</v>
      </c>
      <c r="R74" s="56">
        <v>602</v>
      </c>
      <c r="S74" s="20">
        <v>1315</v>
      </c>
      <c r="U74" s="62"/>
      <c r="V74" s="66" t="s">
        <v>15</v>
      </c>
      <c r="W74" s="53">
        <f>$N$74/$O$74</f>
        <v>2.3842917251051893E-2</v>
      </c>
      <c r="X74" s="53">
        <f>$Q$74/$R$74</f>
        <v>2.9900332225913623E-2</v>
      </c>
      <c r="Y74" s="59">
        <f>$X$74-$W$74</f>
        <v>6.0574149748617301E-3</v>
      </c>
    </row>
    <row r="75" spans="1:33" x14ac:dyDescent="0.2">
      <c r="B75" t="s">
        <v>15</v>
      </c>
      <c r="C75" s="17">
        <v>696</v>
      </c>
      <c r="D75" s="17">
        <v>17</v>
      </c>
      <c r="E75" s="17">
        <v>713</v>
      </c>
      <c r="F75" s="17">
        <v>584</v>
      </c>
      <c r="G75" s="17">
        <v>18</v>
      </c>
      <c r="H75" s="17">
        <v>602</v>
      </c>
      <c r="I75" s="17">
        <v>1315</v>
      </c>
    </row>
    <row r="76" spans="1:33" x14ac:dyDescent="0.2">
      <c r="A76" t="s">
        <v>117</v>
      </c>
      <c r="C76" s="17">
        <v>123614</v>
      </c>
      <c r="D76" s="17">
        <v>13995</v>
      </c>
      <c r="E76" s="17">
        <v>137609</v>
      </c>
      <c r="F76" s="17">
        <v>111377</v>
      </c>
      <c r="G76" s="17">
        <v>22034</v>
      </c>
      <c r="H76" s="17">
        <v>133411</v>
      </c>
      <c r="I76" s="17">
        <v>271020</v>
      </c>
    </row>
    <row r="77" spans="1:33" x14ac:dyDescent="0.2">
      <c r="A77" t="s">
        <v>113</v>
      </c>
      <c r="C77" s="17">
        <v>280407</v>
      </c>
      <c r="D77" s="17">
        <v>101978</v>
      </c>
      <c r="E77" s="17">
        <v>382385</v>
      </c>
      <c r="F77" s="17">
        <v>267210</v>
      </c>
      <c r="G77" s="17">
        <v>112250</v>
      </c>
      <c r="H77" s="17">
        <v>379460</v>
      </c>
      <c r="I77" s="17">
        <v>761845</v>
      </c>
    </row>
  </sheetData>
  <mergeCells count="39">
    <mergeCell ref="V53:V54"/>
    <mergeCell ref="U53:U54"/>
    <mergeCell ref="Y53:Y54"/>
    <mergeCell ref="S21:S22"/>
    <mergeCell ref="V21:V22"/>
    <mergeCell ref="V41:V42"/>
    <mergeCell ref="S41:S42"/>
    <mergeCell ref="T21:T22"/>
    <mergeCell ref="U21:U22"/>
    <mergeCell ref="P21:P22"/>
    <mergeCell ref="Q21:Q22"/>
    <mergeCell ref="K41:L41"/>
    <mergeCell ref="N41:O41"/>
    <mergeCell ref="M41:M42"/>
    <mergeCell ref="Q41:Q42"/>
    <mergeCell ref="P41:P42"/>
    <mergeCell ref="AG53:AG54"/>
    <mergeCell ref="AA53:AA54"/>
    <mergeCell ref="AB53:AB54"/>
    <mergeCell ref="AC53:AC54"/>
    <mergeCell ref="AD53:AD54"/>
    <mergeCell ref="AE53:AE54"/>
    <mergeCell ref="AF53:AF54"/>
    <mergeCell ref="AG51:AG52"/>
    <mergeCell ref="A1:F1"/>
    <mergeCell ref="A18:E18"/>
    <mergeCell ref="A50:J50"/>
    <mergeCell ref="A38:J38"/>
    <mergeCell ref="T19:T20"/>
    <mergeCell ref="U19:U20"/>
    <mergeCell ref="V19:V20"/>
    <mergeCell ref="AB51:AB52"/>
    <mergeCell ref="AC51:AC52"/>
    <mergeCell ref="AD51:AD52"/>
    <mergeCell ref="AE51:AE52"/>
    <mergeCell ref="AF51:AF52"/>
    <mergeCell ref="K21:L21"/>
    <mergeCell ref="N21:O21"/>
    <mergeCell ref="M21:M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4BD5-5472-CB47-AFAD-9E596AA48793}">
  <dimension ref="A1:T53"/>
  <sheetViews>
    <sheetView showGridLines="0" zoomScale="75" workbookViewId="0">
      <selection activeCell="P23" sqref="P23"/>
    </sheetView>
  </sheetViews>
  <sheetFormatPr baseColWidth="10" defaultRowHeight="15" x14ac:dyDescent="0.2"/>
  <cols>
    <col min="1" max="1" width="15.1640625" bestFit="1" customWidth="1"/>
    <col min="2" max="5" width="10.1640625" bestFit="1" customWidth="1"/>
    <col min="7" max="7" width="19.83203125" customWidth="1"/>
    <col min="9" max="9" width="19.6640625" customWidth="1"/>
    <col min="10" max="10" width="13.6640625" customWidth="1"/>
    <col min="12" max="12" width="13.5" bestFit="1" customWidth="1"/>
    <col min="16" max="16" width="20" customWidth="1"/>
    <col min="18" max="19" width="13.5" bestFit="1" customWidth="1"/>
  </cols>
  <sheetData>
    <row r="1" spans="1:20" ht="16" x14ac:dyDescent="0.2">
      <c r="A1" s="148" t="s">
        <v>139</v>
      </c>
      <c r="B1" s="148"/>
      <c r="C1" s="148"/>
      <c r="D1" s="148"/>
      <c r="E1" s="148"/>
      <c r="F1" s="148"/>
    </row>
    <row r="3" spans="1:20" x14ac:dyDescent="0.2">
      <c r="A3" s="16" t="s">
        <v>114</v>
      </c>
      <c r="C3" s="16" t="s">
        <v>111</v>
      </c>
    </row>
    <row r="4" spans="1:20" x14ac:dyDescent="0.2">
      <c r="A4" s="16" t="s">
        <v>112</v>
      </c>
      <c r="B4" s="16" t="s">
        <v>110</v>
      </c>
      <c r="C4" t="s">
        <v>0</v>
      </c>
      <c r="D4" t="s">
        <v>1</v>
      </c>
      <c r="E4" t="s">
        <v>113</v>
      </c>
      <c r="G4" s="65" t="s">
        <v>112</v>
      </c>
      <c r="H4" s="18" t="s">
        <v>110</v>
      </c>
      <c r="I4" s="18" t="s">
        <v>0</v>
      </c>
      <c r="J4" s="18" t="s">
        <v>1</v>
      </c>
      <c r="K4" s="18" t="s">
        <v>113</v>
      </c>
      <c r="L4" s="18" t="s">
        <v>138</v>
      </c>
      <c r="M4" s="18" t="s">
        <v>129</v>
      </c>
      <c r="N4" s="65" t="s">
        <v>112</v>
      </c>
      <c r="O4" s="18" t="s">
        <v>110</v>
      </c>
      <c r="P4" s="18" t="s">
        <v>0</v>
      </c>
      <c r="Q4" s="18" t="s">
        <v>1</v>
      </c>
      <c r="R4" s="18" t="s">
        <v>113</v>
      </c>
      <c r="S4" s="18" t="s">
        <v>138</v>
      </c>
      <c r="T4" s="18" t="s">
        <v>129</v>
      </c>
    </row>
    <row r="5" spans="1:20" x14ac:dyDescent="0.2">
      <c r="A5" t="s">
        <v>5</v>
      </c>
      <c r="B5">
        <v>2014</v>
      </c>
      <c r="C5" s="17">
        <v>156793</v>
      </c>
      <c r="D5" s="17">
        <v>87983</v>
      </c>
      <c r="E5" s="17">
        <v>244776</v>
      </c>
      <c r="G5" s="61" t="s">
        <v>5</v>
      </c>
      <c r="H5" s="60">
        <v>2014</v>
      </c>
      <c r="I5" s="49">
        <v>156793</v>
      </c>
      <c r="J5" s="49">
        <v>87983</v>
      </c>
      <c r="K5" s="49">
        <v>244776</v>
      </c>
      <c r="L5" s="50">
        <f>J5/K5</f>
        <v>0.35944291924044841</v>
      </c>
      <c r="M5" s="72"/>
      <c r="N5" s="68" t="s">
        <v>4</v>
      </c>
      <c r="O5" s="66">
        <v>2014</v>
      </c>
      <c r="P5" s="52">
        <v>123614</v>
      </c>
      <c r="Q5" s="52">
        <v>13995</v>
      </c>
      <c r="R5" s="52">
        <v>137609</v>
      </c>
      <c r="S5" s="53">
        <f>Q5/R5</f>
        <v>0.10170119686939082</v>
      </c>
      <c r="T5" s="51"/>
    </row>
    <row r="6" spans="1:20" x14ac:dyDescent="0.2">
      <c r="B6">
        <v>2015</v>
      </c>
      <c r="C6" s="17">
        <v>152038</v>
      </c>
      <c r="D6" s="17">
        <v>89943</v>
      </c>
      <c r="E6" s="17">
        <v>241981</v>
      </c>
      <c r="G6" s="63"/>
      <c r="H6" s="60">
        <v>2015</v>
      </c>
      <c r="I6" s="49">
        <v>152038</v>
      </c>
      <c r="J6" s="49">
        <v>89943</v>
      </c>
      <c r="K6" s="49">
        <v>241981</v>
      </c>
      <c r="L6" s="50">
        <f t="shared" ref="L6:L9" si="0">J6/K6</f>
        <v>0.37169447188002364</v>
      </c>
      <c r="M6" s="73">
        <f>L6-L5</f>
        <v>1.2251552639575225E-2</v>
      </c>
      <c r="N6" s="67"/>
      <c r="O6" s="66">
        <v>2015</v>
      </c>
      <c r="P6" s="52">
        <v>118504</v>
      </c>
      <c r="Q6" s="52">
        <v>14302</v>
      </c>
      <c r="R6" s="52">
        <v>132806</v>
      </c>
      <c r="S6" s="53">
        <f t="shared" ref="S6:S9" si="1">Q6/R6</f>
        <v>0.10769091757902505</v>
      </c>
      <c r="T6" s="59">
        <f>S6-S5</f>
        <v>5.9897207096342303E-3</v>
      </c>
    </row>
    <row r="7" spans="1:20" x14ac:dyDescent="0.2">
      <c r="B7">
        <v>2016</v>
      </c>
      <c r="C7" s="17">
        <v>154489</v>
      </c>
      <c r="D7" s="17">
        <v>88264</v>
      </c>
      <c r="E7" s="17">
        <v>242753</v>
      </c>
      <c r="G7" s="63"/>
      <c r="H7" s="60">
        <v>2016</v>
      </c>
      <c r="I7" s="49">
        <v>154489</v>
      </c>
      <c r="J7" s="49">
        <v>88264</v>
      </c>
      <c r="K7" s="49">
        <v>242753</v>
      </c>
      <c r="L7" s="50">
        <f t="shared" si="0"/>
        <v>0.36359591848504447</v>
      </c>
      <c r="M7" s="73">
        <f>L7-L6</f>
        <v>-8.0985533949791688E-3</v>
      </c>
      <c r="N7" s="67"/>
      <c r="O7" s="66">
        <v>2016</v>
      </c>
      <c r="P7" s="52">
        <v>117976</v>
      </c>
      <c r="Q7" s="52">
        <v>14678</v>
      </c>
      <c r="R7" s="52">
        <v>132654</v>
      </c>
      <c r="S7" s="53">
        <f t="shared" si="1"/>
        <v>0.11064875540880788</v>
      </c>
      <c r="T7" s="59">
        <f>S7-S6</f>
        <v>2.9578378297828306E-3</v>
      </c>
    </row>
    <row r="8" spans="1:20" x14ac:dyDescent="0.2">
      <c r="B8">
        <v>2017</v>
      </c>
      <c r="C8" s="17">
        <v>155408</v>
      </c>
      <c r="D8" s="17">
        <v>90721</v>
      </c>
      <c r="E8" s="17">
        <v>246129</v>
      </c>
      <c r="G8" s="63"/>
      <c r="H8" s="60">
        <v>2017</v>
      </c>
      <c r="I8" s="49">
        <v>155408</v>
      </c>
      <c r="J8" s="49">
        <v>90721</v>
      </c>
      <c r="K8" s="49">
        <v>246129</v>
      </c>
      <c r="L8" s="50">
        <f t="shared" si="0"/>
        <v>0.36859126718103108</v>
      </c>
      <c r="M8" s="73">
        <f>L8-L7</f>
        <v>4.9953486959866122E-3</v>
      </c>
      <c r="N8" s="67"/>
      <c r="O8" s="66">
        <v>2017</v>
      </c>
      <c r="P8" s="52">
        <v>114962</v>
      </c>
      <c r="Q8" s="52">
        <v>18706</v>
      </c>
      <c r="R8" s="52">
        <v>133668</v>
      </c>
      <c r="S8" s="53">
        <f t="shared" si="1"/>
        <v>0.13994374120956399</v>
      </c>
      <c r="T8" s="59">
        <f>S8-S7</f>
        <v>2.929498580075611E-2</v>
      </c>
    </row>
    <row r="9" spans="1:20" x14ac:dyDescent="0.2">
      <c r="B9">
        <v>2018</v>
      </c>
      <c r="C9" s="17">
        <v>155833</v>
      </c>
      <c r="D9" s="17">
        <v>90216</v>
      </c>
      <c r="E9" s="17">
        <v>246049</v>
      </c>
      <c r="G9" s="64"/>
      <c r="H9" s="60">
        <v>2018</v>
      </c>
      <c r="I9" s="49">
        <v>155833</v>
      </c>
      <c r="J9" s="49">
        <v>90216</v>
      </c>
      <c r="K9" s="49">
        <v>246049</v>
      </c>
      <c r="L9" s="50">
        <f t="shared" si="0"/>
        <v>0.36665867367882005</v>
      </c>
      <c r="M9" s="73">
        <f>L9-L8</f>
        <v>-1.932593502211033E-3</v>
      </c>
      <c r="N9" s="62"/>
      <c r="O9" s="66">
        <v>2018</v>
      </c>
      <c r="P9" s="52">
        <v>111377</v>
      </c>
      <c r="Q9" s="52">
        <v>22034</v>
      </c>
      <c r="R9" s="52">
        <v>133411</v>
      </c>
      <c r="S9" s="53">
        <f t="shared" si="1"/>
        <v>0.16515879500191138</v>
      </c>
      <c r="T9" s="59">
        <f>S9-S8</f>
        <v>2.5215053792347397E-2</v>
      </c>
    </row>
    <row r="10" spans="1:20" x14ac:dyDescent="0.2">
      <c r="A10" t="s">
        <v>4</v>
      </c>
      <c r="B10">
        <v>2014</v>
      </c>
      <c r="C10" s="17">
        <v>123614</v>
      </c>
      <c r="D10" s="17">
        <v>13995</v>
      </c>
      <c r="E10" s="17">
        <v>137609</v>
      </c>
    </row>
    <row r="11" spans="1:20" x14ac:dyDescent="0.2">
      <c r="B11">
        <v>2015</v>
      </c>
      <c r="C11" s="17">
        <v>118504</v>
      </c>
      <c r="D11" s="17">
        <v>14302</v>
      </c>
      <c r="E11" s="17">
        <v>132806</v>
      </c>
    </row>
    <row r="12" spans="1:20" x14ac:dyDescent="0.2">
      <c r="B12">
        <v>2016</v>
      </c>
      <c r="C12" s="17">
        <v>117976</v>
      </c>
      <c r="D12" s="17">
        <v>14678</v>
      </c>
      <c r="E12" s="17">
        <v>132654</v>
      </c>
    </row>
    <row r="13" spans="1:20" x14ac:dyDescent="0.2">
      <c r="B13">
        <v>2017</v>
      </c>
      <c r="C13" s="17">
        <v>114962</v>
      </c>
      <c r="D13" s="17">
        <v>18706</v>
      </c>
      <c r="E13" s="17">
        <v>133668</v>
      </c>
      <c r="I13" s="71" t="s">
        <v>175</v>
      </c>
      <c r="J13" s="71"/>
      <c r="K13" s="113"/>
      <c r="L13" s="115"/>
      <c r="M13" s="114">
        <f>AVERAGE(M6:M9)</f>
        <v>1.8039386095929089E-3</v>
      </c>
      <c r="P13" s="71" t="s">
        <v>175</v>
      </c>
      <c r="Q13" s="71"/>
      <c r="R13" s="113"/>
      <c r="S13" s="115"/>
      <c r="T13" s="114">
        <f>AVERAGE(T6:T9)</f>
        <v>1.5864399533130142E-2</v>
      </c>
    </row>
    <row r="14" spans="1:20" x14ac:dyDescent="0.2">
      <c r="B14">
        <v>2018</v>
      </c>
      <c r="C14" s="17">
        <v>111377</v>
      </c>
      <c r="D14" s="17">
        <v>22034</v>
      </c>
      <c r="E14" s="17">
        <v>133411</v>
      </c>
    </row>
    <row r="15" spans="1:20" x14ac:dyDescent="0.2">
      <c r="A15" t="s">
        <v>113</v>
      </c>
      <c r="C15" s="17">
        <v>1360994</v>
      </c>
      <c r="D15" s="17">
        <v>530842</v>
      </c>
      <c r="E15" s="17">
        <v>1891836</v>
      </c>
    </row>
    <row r="16" spans="1:20" x14ac:dyDescent="0.2">
      <c r="G16" s="58" t="s">
        <v>112</v>
      </c>
      <c r="H16" s="58" t="s">
        <v>110</v>
      </c>
      <c r="I16" s="58" t="s">
        <v>141</v>
      </c>
      <c r="N16" s="58" t="s">
        <v>112</v>
      </c>
      <c r="O16" s="58" t="s">
        <v>110</v>
      </c>
      <c r="P16" s="58" t="s">
        <v>141</v>
      </c>
    </row>
    <row r="17" spans="1:16" x14ac:dyDescent="0.2">
      <c r="G17" s="76" t="s">
        <v>5</v>
      </c>
      <c r="H17" s="40">
        <v>2019</v>
      </c>
      <c r="I17" s="38">
        <f>L9+M13</f>
        <v>0.36846261228841293</v>
      </c>
      <c r="N17" s="76" t="s">
        <v>4</v>
      </c>
      <c r="O17" s="19">
        <v>2019</v>
      </c>
      <c r="P17" s="38">
        <f>S9+T13</f>
        <v>0.18102319453504154</v>
      </c>
    </row>
    <row r="18" spans="1:16" x14ac:dyDescent="0.2">
      <c r="G18" s="74"/>
      <c r="H18" s="40">
        <v>2020</v>
      </c>
      <c r="I18" s="38">
        <f>I17+$M$13</f>
        <v>0.37026655089800586</v>
      </c>
      <c r="N18" s="74"/>
      <c r="O18" s="19">
        <v>2020</v>
      </c>
      <c r="P18" s="38">
        <f>P17+$T$13</f>
        <v>0.19688759406817169</v>
      </c>
    </row>
    <row r="19" spans="1:16" x14ac:dyDescent="0.2">
      <c r="G19" s="74"/>
      <c r="H19" s="40">
        <v>2021</v>
      </c>
      <c r="I19" s="38">
        <f>I18+$M$13</f>
        <v>0.3720704895075988</v>
      </c>
      <c r="N19" s="74"/>
      <c r="O19" s="19">
        <v>2021</v>
      </c>
      <c r="P19" s="38">
        <f>P18+$T$13</f>
        <v>0.21275199360130184</v>
      </c>
    </row>
    <row r="20" spans="1:16" x14ac:dyDescent="0.2">
      <c r="G20" s="74"/>
      <c r="H20" s="40">
        <v>2022</v>
      </c>
      <c r="I20" s="38">
        <f>I19+$M$13</f>
        <v>0.37387442811719174</v>
      </c>
      <c r="N20" s="74"/>
      <c r="O20" s="19">
        <v>2022</v>
      </c>
      <c r="P20" s="38">
        <f>P19+$T$13</f>
        <v>0.22861639313443199</v>
      </c>
    </row>
    <row r="21" spans="1:16" x14ac:dyDescent="0.2">
      <c r="G21" s="74"/>
      <c r="H21" s="40">
        <v>2023</v>
      </c>
      <c r="I21" s="38">
        <f>I20+$M$13</f>
        <v>0.37567836672678467</v>
      </c>
      <c r="N21" s="74"/>
      <c r="O21" s="19">
        <v>2023</v>
      </c>
      <c r="P21" s="38">
        <f>P20+$T$13</f>
        <v>0.24448079266756215</v>
      </c>
    </row>
    <row r="22" spans="1:16" x14ac:dyDescent="0.2">
      <c r="G22" s="74"/>
      <c r="H22" s="40">
        <v>2024</v>
      </c>
      <c r="I22" s="38">
        <f>I21+$M$13</f>
        <v>0.37748230533637761</v>
      </c>
      <c r="N22" s="74"/>
      <c r="O22" s="19">
        <v>2024</v>
      </c>
      <c r="P22" s="38">
        <f>P21+$T$13</f>
        <v>0.2603451922006923</v>
      </c>
    </row>
    <row r="23" spans="1:16" x14ac:dyDescent="0.2">
      <c r="G23" s="75"/>
      <c r="H23" s="40">
        <v>2025</v>
      </c>
      <c r="I23" s="38">
        <f>I22+$M$13</f>
        <v>0.37928624394597055</v>
      </c>
      <c r="N23" s="75"/>
      <c r="O23" s="19">
        <v>2025</v>
      </c>
      <c r="P23" s="38">
        <f>P22+$T$13</f>
        <v>0.27620959173382242</v>
      </c>
    </row>
    <row r="31" spans="1:16" ht="16" x14ac:dyDescent="0.2">
      <c r="A31" s="123" t="s">
        <v>142</v>
      </c>
      <c r="B31" s="124"/>
      <c r="C31" s="124"/>
      <c r="D31" s="124"/>
      <c r="E31" s="125"/>
    </row>
    <row r="33" spans="1:11" x14ac:dyDescent="0.2">
      <c r="A33" s="16" t="s">
        <v>114</v>
      </c>
      <c r="B33" s="16" t="s">
        <v>111</v>
      </c>
    </row>
    <row r="34" spans="1:11" x14ac:dyDescent="0.2">
      <c r="A34" s="16" t="s">
        <v>110</v>
      </c>
      <c r="B34" t="s">
        <v>0</v>
      </c>
      <c r="C34" t="s">
        <v>1</v>
      </c>
      <c r="D34" t="s">
        <v>113</v>
      </c>
      <c r="F34" s="18" t="s">
        <v>110</v>
      </c>
      <c r="G34" s="18" t="s">
        <v>0</v>
      </c>
      <c r="H34" s="18" t="s">
        <v>1</v>
      </c>
      <c r="I34" s="18" t="s">
        <v>113</v>
      </c>
      <c r="J34" s="18" t="s">
        <v>138</v>
      </c>
      <c r="K34" s="18" t="s">
        <v>140</v>
      </c>
    </row>
    <row r="35" spans="1:11" x14ac:dyDescent="0.2">
      <c r="A35">
        <v>2014</v>
      </c>
      <c r="B35" s="17">
        <v>280407</v>
      </c>
      <c r="C35" s="17">
        <v>101978</v>
      </c>
      <c r="D35" s="17">
        <v>382385</v>
      </c>
      <c r="F35" s="19">
        <v>2014</v>
      </c>
      <c r="G35" s="20">
        <v>280407</v>
      </c>
      <c r="H35" s="20">
        <v>101978</v>
      </c>
      <c r="I35" s="20">
        <v>382385</v>
      </c>
      <c r="J35" s="23">
        <f>H35/I35</f>
        <v>0.26668933143297985</v>
      </c>
      <c r="K35" s="19"/>
    </row>
    <row r="36" spans="1:11" x14ac:dyDescent="0.2">
      <c r="A36">
        <v>2015</v>
      </c>
      <c r="B36" s="17">
        <v>270542</v>
      </c>
      <c r="C36" s="17">
        <v>104245</v>
      </c>
      <c r="D36" s="17">
        <v>374787</v>
      </c>
      <c r="F36" s="19">
        <v>2015</v>
      </c>
      <c r="G36" s="20">
        <v>270542</v>
      </c>
      <c r="H36" s="20">
        <v>104245</v>
      </c>
      <c r="I36" s="20">
        <v>374787</v>
      </c>
      <c r="J36" s="23">
        <f>H36/I36</f>
        <v>0.27814465282947382</v>
      </c>
      <c r="K36" s="38">
        <f>J36-J35</f>
        <v>1.1455321396493967E-2</v>
      </c>
    </row>
    <row r="37" spans="1:11" x14ac:dyDescent="0.2">
      <c r="A37">
        <v>2016</v>
      </c>
      <c r="B37" s="17">
        <v>272465</v>
      </c>
      <c r="C37" s="17">
        <v>102942</v>
      </c>
      <c r="D37" s="17">
        <v>375407</v>
      </c>
      <c r="F37" s="19">
        <v>2016</v>
      </c>
      <c r="G37" s="20">
        <v>272465</v>
      </c>
      <c r="H37" s="20">
        <v>102942</v>
      </c>
      <c r="I37" s="20">
        <v>375407</v>
      </c>
      <c r="J37" s="23">
        <f>H37/I37</f>
        <v>0.2742143859864094</v>
      </c>
      <c r="K37" s="38">
        <f>J37-J36</f>
        <v>-3.9302668430644117E-3</v>
      </c>
    </row>
    <row r="38" spans="1:11" x14ac:dyDescent="0.2">
      <c r="A38">
        <v>2017</v>
      </c>
      <c r="B38" s="17">
        <v>270370</v>
      </c>
      <c r="C38" s="17">
        <v>109427</v>
      </c>
      <c r="D38" s="17">
        <v>379797</v>
      </c>
      <c r="F38" s="19">
        <v>2017</v>
      </c>
      <c r="G38" s="20">
        <v>270370</v>
      </c>
      <c r="H38" s="20">
        <v>109427</v>
      </c>
      <c r="I38" s="20">
        <v>379797</v>
      </c>
      <c r="J38" s="23">
        <f>H38/I38</f>
        <v>0.28811970605349702</v>
      </c>
      <c r="K38" s="38">
        <f>J38-J37</f>
        <v>1.3905320067087612E-2</v>
      </c>
    </row>
    <row r="39" spans="1:11" x14ac:dyDescent="0.2">
      <c r="A39">
        <v>2018</v>
      </c>
      <c r="B39" s="17">
        <v>267210</v>
      </c>
      <c r="C39" s="17">
        <v>112250</v>
      </c>
      <c r="D39" s="17">
        <v>379460</v>
      </c>
      <c r="F39" s="19">
        <v>2018</v>
      </c>
      <c r="G39" s="20">
        <v>267210</v>
      </c>
      <c r="H39" s="20">
        <v>112250</v>
      </c>
      <c r="I39" s="20">
        <v>379460</v>
      </c>
      <c r="J39" s="23">
        <f>H39/I39</f>
        <v>0.29581510567648767</v>
      </c>
      <c r="K39" s="38">
        <f>J39-J38</f>
        <v>7.6953996229906507E-3</v>
      </c>
    </row>
    <row r="40" spans="1:11" x14ac:dyDescent="0.2">
      <c r="A40" t="s">
        <v>113</v>
      </c>
      <c r="B40" s="17">
        <v>1360994</v>
      </c>
      <c r="C40" s="17">
        <v>530842</v>
      </c>
      <c r="D40" s="17">
        <v>1891836</v>
      </c>
    </row>
    <row r="43" spans="1:11" x14ac:dyDescent="0.2">
      <c r="G43" s="71" t="s">
        <v>176</v>
      </c>
      <c r="H43" s="71"/>
      <c r="I43" s="113"/>
      <c r="J43" s="115"/>
      <c r="K43" s="114">
        <f>AVERAGE(K36:K39)</f>
        <v>7.2814435608769545E-3</v>
      </c>
    </row>
    <row r="46" spans="1:11" x14ac:dyDescent="0.2">
      <c r="F46" s="58" t="s">
        <v>110</v>
      </c>
      <c r="G46" s="58" t="s">
        <v>141</v>
      </c>
    </row>
    <row r="47" spans="1:11" x14ac:dyDescent="0.2">
      <c r="F47" s="19">
        <v>2019</v>
      </c>
      <c r="G47" s="38">
        <f>J39+K43</f>
        <v>0.30309654923736462</v>
      </c>
    </row>
    <row r="48" spans="1:11" x14ac:dyDescent="0.2">
      <c r="F48" s="19">
        <v>2020</v>
      </c>
      <c r="G48" s="38">
        <f>G47+$K$43</f>
        <v>0.31037799279824158</v>
      </c>
    </row>
    <row r="49" spans="6:7" x14ac:dyDescent="0.2">
      <c r="F49" s="19">
        <v>2021</v>
      </c>
      <c r="G49" s="38">
        <f>G48+$K$43</f>
        <v>0.31765943635911853</v>
      </c>
    </row>
    <row r="50" spans="6:7" x14ac:dyDescent="0.2">
      <c r="F50" s="19">
        <v>2022</v>
      </c>
      <c r="G50" s="38">
        <f>G49+$K$43</f>
        <v>0.32494087991999548</v>
      </c>
    </row>
    <row r="51" spans="6:7" x14ac:dyDescent="0.2">
      <c r="F51" s="19">
        <v>2023</v>
      </c>
      <c r="G51" s="38">
        <f>G50+$K$43</f>
        <v>0.33222232348087244</v>
      </c>
    </row>
    <row r="52" spans="6:7" x14ac:dyDescent="0.2">
      <c r="F52" s="19">
        <v>2024</v>
      </c>
      <c r="G52" s="38">
        <f>G51+$K$43</f>
        <v>0.33950376704174939</v>
      </c>
    </row>
    <row r="53" spans="6:7" x14ac:dyDescent="0.2">
      <c r="F53" s="19">
        <v>2025</v>
      </c>
      <c r="G53" s="38">
        <f>G52+$K$43</f>
        <v>0.34678521060262635</v>
      </c>
    </row>
  </sheetData>
  <mergeCells count="2">
    <mergeCell ref="A1:F1"/>
    <mergeCell ref="A31:E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B31A-E8D9-7F4F-8C36-7F53EC27A1ED}">
  <dimension ref="A1:AK71"/>
  <sheetViews>
    <sheetView showGridLines="0" zoomScale="59" workbookViewId="0">
      <selection activeCell="P55" sqref="P55"/>
    </sheetView>
  </sheetViews>
  <sheetFormatPr baseColWidth="10" defaultRowHeight="15" x14ac:dyDescent="0.2"/>
  <cols>
    <col min="1" max="1" width="29.5" bestFit="1" customWidth="1"/>
    <col min="2" max="2" width="11.5" bestFit="1" customWidth="1"/>
    <col min="3" max="4" width="8.6640625" bestFit="1" customWidth="1"/>
    <col min="5" max="5" width="9.332031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9.33203125" bestFit="1" customWidth="1"/>
    <col min="12" max="13" width="8.6640625" bestFit="1" customWidth="1"/>
    <col min="14" max="14" width="9.33203125" bestFit="1" customWidth="1"/>
    <col min="15" max="16" width="8.6640625" bestFit="1" customWidth="1"/>
    <col min="17" max="17" width="9.33203125" bestFit="1" customWidth="1"/>
    <col min="18" max="18" width="10.1640625" bestFit="1" customWidth="1"/>
    <col min="19" max="19" width="8.6640625" bestFit="1" customWidth="1"/>
    <col min="20" max="20" width="29.33203125" bestFit="1" customWidth="1"/>
    <col min="21" max="21" width="11.5" bestFit="1" customWidth="1"/>
    <col min="22" max="22" width="9.33203125" bestFit="1" customWidth="1"/>
    <col min="23" max="24" width="8.6640625" bestFit="1" customWidth="1"/>
    <col min="25" max="25" width="11" bestFit="1" customWidth="1"/>
    <col min="26" max="26" width="8.6640625" bestFit="1" customWidth="1"/>
    <col min="27" max="27" width="10" customWidth="1"/>
    <col min="28" max="29" width="9.33203125" bestFit="1" customWidth="1"/>
    <col min="30" max="31" width="8.6640625" bestFit="1" customWidth="1"/>
    <col min="32" max="32" width="11" bestFit="1" customWidth="1"/>
    <col min="33" max="34" width="8.6640625" bestFit="1" customWidth="1"/>
    <col min="35" max="36" width="9.33203125" bestFit="1" customWidth="1"/>
    <col min="37" max="37" width="10.1640625" bestFit="1" customWidth="1"/>
  </cols>
  <sheetData>
    <row r="1" spans="1:37" ht="16" x14ac:dyDescent="0.2">
      <c r="A1" s="116" t="s">
        <v>163</v>
      </c>
    </row>
    <row r="4" spans="1:37" x14ac:dyDescent="0.2">
      <c r="A4" s="18"/>
      <c r="B4" s="18"/>
      <c r="C4" s="18">
        <v>2014</v>
      </c>
      <c r="D4" s="18"/>
      <c r="E4" s="57" t="s">
        <v>132</v>
      </c>
      <c r="F4" s="18">
        <v>2015</v>
      </c>
      <c r="G4" s="18"/>
      <c r="H4" s="57" t="s">
        <v>143</v>
      </c>
      <c r="I4" s="18">
        <v>2016</v>
      </c>
      <c r="J4" s="18"/>
      <c r="K4" s="57" t="s">
        <v>144</v>
      </c>
      <c r="L4" s="18">
        <v>2017</v>
      </c>
      <c r="M4" s="18"/>
      <c r="N4" s="57" t="s">
        <v>145</v>
      </c>
      <c r="O4" s="18">
        <v>2018</v>
      </c>
      <c r="P4" s="18"/>
      <c r="Q4" s="57" t="s">
        <v>133</v>
      </c>
      <c r="R4" s="18" t="s">
        <v>113</v>
      </c>
      <c r="T4" s="16" t="s">
        <v>114</v>
      </c>
      <c r="V4" s="16" t="s">
        <v>110</v>
      </c>
      <c r="W4" s="16" t="s">
        <v>111</v>
      </c>
    </row>
    <row r="5" spans="1:37" x14ac:dyDescent="0.2">
      <c r="A5" s="18" t="s">
        <v>2</v>
      </c>
      <c r="B5" s="18" t="s">
        <v>112</v>
      </c>
      <c r="C5" s="18" t="s">
        <v>0</v>
      </c>
      <c r="D5" s="18" t="s">
        <v>1</v>
      </c>
      <c r="E5" s="57"/>
      <c r="F5" s="18" t="s">
        <v>0</v>
      </c>
      <c r="G5" s="18" t="s">
        <v>1</v>
      </c>
      <c r="H5" s="57"/>
      <c r="I5" s="18" t="s">
        <v>0</v>
      </c>
      <c r="J5" s="18" t="s">
        <v>1</v>
      </c>
      <c r="K5" s="57"/>
      <c r="L5" s="18" t="s">
        <v>0</v>
      </c>
      <c r="M5" s="18" t="s">
        <v>1</v>
      </c>
      <c r="N5" s="57"/>
      <c r="O5" s="18" t="s">
        <v>0</v>
      </c>
      <c r="P5" s="18" t="s">
        <v>1</v>
      </c>
      <c r="Q5" s="57"/>
      <c r="R5" s="18"/>
      <c r="V5">
        <v>2014</v>
      </c>
      <c r="X5" t="s">
        <v>132</v>
      </c>
      <c r="Y5">
        <v>2015</v>
      </c>
      <c r="AA5" t="s">
        <v>143</v>
      </c>
      <c r="AB5">
        <v>2016</v>
      </c>
      <c r="AD5" t="s">
        <v>144</v>
      </c>
      <c r="AE5">
        <v>2017</v>
      </c>
      <c r="AG5" t="s">
        <v>145</v>
      </c>
      <c r="AH5">
        <v>2018</v>
      </c>
      <c r="AJ5" t="s">
        <v>133</v>
      </c>
      <c r="AK5" t="s">
        <v>113</v>
      </c>
    </row>
    <row r="6" spans="1:37" x14ac:dyDescent="0.2">
      <c r="A6" s="24" t="s">
        <v>6</v>
      </c>
      <c r="B6" s="19" t="s">
        <v>5</v>
      </c>
      <c r="C6" s="20">
        <v>41926</v>
      </c>
      <c r="D6" s="20">
        <v>35549</v>
      </c>
      <c r="E6" s="56">
        <v>77475</v>
      </c>
      <c r="F6" s="20">
        <v>41205</v>
      </c>
      <c r="G6" s="20">
        <v>36801</v>
      </c>
      <c r="H6" s="56">
        <v>78006</v>
      </c>
      <c r="I6" s="20">
        <v>42468</v>
      </c>
      <c r="J6" s="20">
        <v>38938</v>
      </c>
      <c r="K6" s="56">
        <v>81406</v>
      </c>
      <c r="L6" s="20">
        <v>43246</v>
      </c>
      <c r="M6" s="20">
        <v>39141</v>
      </c>
      <c r="N6" s="56">
        <v>82387</v>
      </c>
      <c r="O6" s="20">
        <v>44447</v>
      </c>
      <c r="P6" s="20">
        <v>39156</v>
      </c>
      <c r="Q6" s="56">
        <v>83603</v>
      </c>
      <c r="R6" s="20">
        <v>402877</v>
      </c>
      <c r="T6" s="16" t="s">
        <v>2</v>
      </c>
      <c r="U6" s="16" t="s">
        <v>112</v>
      </c>
      <c r="V6" t="s">
        <v>0</v>
      </c>
      <c r="W6" t="s">
        <v>1</v>
      </c>
      <c r="Y6" t="s">
        <v>0</v>
      </c>
      <c r="Z6" t="s">
        <v>1</v>
      </c>
      <c r="AB6" t="s">
        <v>0</v>
      </c>
      <c r="AC6" t="s">
        <v>1</v>
      </c>
      <c r="AE6" t="s">
        <v>0</v>
      </c>
      <c r="AF6" t="s">
        <v>1</v>
      </c>
      <c r="AH6" t="s">
        <v>0</v>
      </c>
      <c r="AI6" t="s">
        <v>1</v>
      </c>
    </row>
    <row r="7" spans="1:37" x14ac:dyDescent="0.2">
      <c r="A7" s="24"/>
      <c r="B7" s="19" t="s">
        <v>4</v>
      </c>
      <c r="C7" s="20">
        <v>19373</v>
      </c>
      <c r="D7" s="20">
        <v>4883</v>
      </c>
      <c r="E7" s="56">
        <v>24256</v>
      </c>
      <c r="F7" s="20">
        <v>18265</v>
      </c>
      <c r="G7" s="20">
        <v>5159</v>
      </c>
      <c r="H7" s="56">
        <v>23424</v>
      </c>
      <c r="I7" s="20">
        <v>18250</v>
      </c>
      <c r="J7" s="20">
        <v>5582</v>
      </c>
      <c r="K7" s="56">
        <v>23832</v>
      </c>
      <c r="L7" s="20">
        <v>17100</v>
      </c>
      <c r="M7" s="20">
        <v>7441</v>
      </c>
      <c r="N7" s="56">
        <v>24541</v>
      </c>
      <c r="O7" s="20">
        <v>16068</v>
      </c>
      <c r="P7" s="20">
        <v>8783</v>
      </c>
      <c r="Q7" s="56">
        <v>24851</v>
      </c>
      <c r="R7" s="20">
        <v>120904</v>
      </c>
      <c r="T7" t="s">
        <v>6</v>
      </c>
      <c r="U7" t="s">
        <v>5</v>
      </c>
      <c r="V7" s="17">
        <v>41926</v>
      </c>
      <c r="W7" s="17">
        <v>35549</v>
      </c>
      <c r="X7" s="17">
        <v>77475</v>
      </c>
      <c r="Y7" s="17">
        <v>41205</v>
      </c>
      <c r="Z7" s="17">
        <v>36801</v>
      </c>
      <c r="AA7" s="17">
        <v>78006</v>
      </c>
      <c r="AB7" s="17">
        <v>42468</v>
      </c>
      <c r="AC7" s="17">
        <v>38938</v>
      </c>
      <c r="AD7" s="17">
        <v>81406</v>
      </c>
      <c r="AE7" s="17">
        <v>43246</v>
      </c>
      <c r="AF7" s="17">
        <v>39141</v>
      </c>
      <c r="AG7" s="17">
        <v>82387</v>
      </c>
      <c r="AH7" s="17">
        <v>44447</v>
      </c>
      <c r="AI7" s="17">
        <v>39156</v>
      </c>
      <c r="AJ7" s="17">
        <v>83603</v>
      </c>
      <c r="AK7" s="17">
        <v>402877</v>
      </c>
    </row>
    <row r="8" spans="1:37" x14ac:dyDescent="0.2">
      <c r="A8" s="24" t="s">
        <v>146</v>
      </c>
      <c r="B8" s="24"/>
      <c r="C8" s="80">
        <v>61299</v>
      </c>
      <c r="D8" s="80">
        <v>40432</v>
      </c>
      <c r="E8" s="81">
        <v>101731</v>
      </c>
      <c r="F8" s="80">
        <v>59470</v>
      </c>
      <c r="G8" s="80">
        <v>41960</v>
      </c>
      <c r="H8" s="81">
        <v>101430</v>
      </c>
      <c r="I8" s="80">
        <v>60718</v>
      </c>
      <c r="J8" s="80">
        <v>44520</v>
      </c>
      <c r="K8" s="81">
        <v>105238</v>
      </c>
      <c r="L8" s="80">
        <v>60346</v>
      </c>
      <c r="M8" s="80">
        <v>46582</v>
      </c>
      <c r="N8" s="81">
        <v>106928</v>
      </c>
      <c r="O8" s="80">
        <v>60515</v>
      </c>
      <c r="P8" s="80">
        <v>47939</v>
      </c>
      <c r="Q8" s="81">
        <v>108454</v>
      </c>
      <c r="R8" s="80">
        <v>523781</v>
      </c>
      <c r="U8" t="s">
        <v>4</v>
      </c>
      <c r="V8" s="17">
        <v>19373</v>
      </c>
      <c r="W8" s="17">
        <v>4883</v>
      </c>
      <c r="X8" s="17">
        <v>24256</v>
      </c>
      <c r="Y8" s="17">
        <v>18265</v>
      </c>
      <c r="Z8" s="17">
        <v>5159</v>
      </c>
      <c r="AA8" s="17">
        <v>23424</v>
      </c>
      <c r="AB8" s="17">
        <v>18250</v>
      </c>
      <c r="AC8" s="17">
        <v>5582</v>
      </c>
      <c r="AD8" s="17">
        <v>23832</v>
      </c>
      <c r="AE8" s="17">
        <v>17100</v>
      </c>
      <c r="AF8" s="17">
        <v>7441</v>
      </c>
      <c r="AG8" s="17">
        <v>24541</v>
      </c>
      <c r="AH8" s="17">
        <v>16068</v>
      </c>
      <c r="AI8" s="17">
        <v>8783</v>
      </c>
      <c r="AJ8" s="17">
        <v>24851</v>
      </c>
      <c r="AK8" s="17">
        <v>120904</v>
      </c>
    </row>
    <row r="9" spans="1:37" x14ac:dyDescent="0.2">
      <c r="A9" s="24" t="s">
        <v>7</v>
      </c>
      <c r="B9" s="19" t="s">
        <v>5</v>
      </c>
      <c r="C9" s="20">
        <v>9943</v>
      </c>
      <c r="D9" s="20">
        <v>5819</v>
      </c>
      <c r="E9" s="56">
        <v>15762</v>
      </c>
      <c r="F9" s="20">
        <v>9789</v>
      </c>
      <c r="G9" s="20">
        <v>5800</v>
      </c>
      <c r="H9" s="56">
        <v>15589</v>
      </c>
      <c r="I9" s="20">
        <v>8947</v>
      </c>
      <c r="J9" s="20">
        <v>2866</v>
      </c>
      <c r="K9" s="56">
        <v>11813</v>
      </c>
      <c r="L9" s="20">
        <v>8770</v>
      </c>
      <c r="M9" s="20">
        <v>2754</v>
      </c>
      <c r="N9" s="56">
        <v>11524</v>
      </c>
      <c r="O9" s="20">
        <v>6868</v>
      </c>
      <c r="P9" s="20">
        <v>1399</v>
      </c>
      <c r="Q9" s="56">
        <v>8267</v>
      </c>
      <c r="R9" s="20">
        <v>62955</v>
      </c>
      <c r="T9" t="s">
        <v>146</v>
      </c>
      <c r="V9" s="17">
        <v>61299</v>
      </c>
      <c r="W9" s="17">
        <v>40432</v>
      </c>
      <c r="X9" s="17">
        <v>101731</v>
      </c>
      <c r="Y9" s="17">
        <v>59470</v>
      </c>
      <c r="Z9" s="17">
        <v>41960</v>
      </c>
      <c r="AA9" s="17">
        <v>101430</v>
      </c>
      <c r="AB9" s="17">
        <v>60718</v>
      </c>
      <c r="AC9" s="17">
        <v>44520</v>
      </c>
      <c r="AD9" s="17">
        <v>105238</v>
      </c>
      <c r="AE9" s="17">
        <v>60346</v>
      </c>
      <c r="AF9" s="17">
        <v>46582</v>
      </c>
      <c r="AG9" s="17">
        <v>106928</v>
      </c>
      <c r="AH9" s="17">
        <v>60515</v>
      </c>
      <c r="AI9" s="17">
        <v>47939</v>
      </c>
      <c r="AJ9" s="17">
        <v>108454</v>
      </c>
      <c r="AK9" s="17">
        <v>523781</v>
      </c>
    </row>
    <row r="10" spans="1:37" x14ac:dyDescent="0.2">
      <c r="A10" s="24"/>
      <c r="B10" s="19" t="s">
        <v>4</v>
      </c>
      <c r="C10" s="20">
        <v>3849</v>
      </c>
      <c r="D10" s="20">
        <v>1045</v>
      </c>
      <c r="E10" s="56">
        <v>4894</v>
      </c>
      <c r="F10" s="20">
        <v>3734</v>
      </c>
      <c r="G10" s="20">
        <v>1028</v>
      </c>
      <c r="H10" s="56">
        <v>4762</v>
      </c>
      <c r="I10" s="20">
        <v>3344</v>
      </c>
      <c r="J10" s="20">
        <v>728</v>
      </c>
      <c r="K10" s="56">
        <v>4072</v>
      </c>
      <c r="L10" s="20">
        <v>3258</v>
      </c>
      <c r="M10" s="20">
        <v>732</v>
      </c>
      <c r="N10" s="56">
        <v>3990</v>
      </c>
      <c r="O10" s="20">
        <v>2296</v>
      </c>
      <c r="P10" s="20">
        <v>113</v>
      </c>
      <c r="Q10" s="56">
        <v>2409</v>
      </c>
      <c r="R10" s="20">
        <v>20127</v>
      </c>
      <c r="T10" t="s">
        <v>7</v>
      </c>
      <c r="U10" t="s">
        <v>5</v>
      </c>
      <c r="V10" s="17">
        <v>9943</v>
      </c>
      <c r="W10" s="17">
        <v>5819</v>
      </c>
      <c r="X10" s="17">
        <v>15762</v>
      </c>
      <c r="Y10" s="17">
        <v>9789</v>
      </c>
      <c r="Z10" s="17">
        <v>5800</v>
      </c>
      <c r="AA10" s="17">
        <v>15589</v>
      </c>
      <c r="AB10" s="17">
        <v>8947</v>
      </c>
      <c r="AC10" s="17">
        <v>2866</v>
      </c>
      <c r="AD10" s="17">
        <v>11813</v>
      </c>
      <c r="AE10" s="17">
        <v>8770</v>
      </c>
      <c r="AF10" s="17">
        <v>2754</v>
      </c>
      <c r="AG10" s="17">
        <v>11524</v>
      </c>
      <c r="AH10" s="17">
        <v>6868</v>
      </c>
      <c r="AI10" s="17">
        <v>1399</v>
      </c>
      <c r="AJ10" s="17">
        <v>8267</v>
      </c>
      <c r="AK10" s="17">
        <v>62955</v>
      </c>
    </row>
    <row r="11" spans="1:37" x14ac:dyDescent="0.2">
      <c r="A11" s="24" t="s">
        <v>147</v>
      </c>
      <c r="B11" s="24"/>
      <c r="C11" s="80">
        <v>13792</v>
      </c>
      <c r="D11" s="80">
        <v>6864</v>
      </c>
      <c r="E11" s="81">
        <v>20656</v>
      </c>
      <c r="F11" s="80">
        <v>13523</v>
      </c>
      <c r="G11" s="80">
        <v>6828</v>
      </c>
      <c r="H11" s="81">
        <v>20351</v>
      </c>
      <c r="I11" s="80">
        <v>12291</v>
      </c>
      <c r="J11" s="80">
        <v>3594</v>
      </c>
      <c r="K11" s="81">
        <v>15885</v>
      </c>
      <c r="L11" s="80">
        <v>12028</v>
      </c>
      <c r="M11" s="80">
        <v>3486</v>
      </c>
      <c r="N11" s="81">
        <v>15514</v>
      </c>
      <c r="O11" s="80">
        <v>9164</v>
      </c>
      <c r="P11" s="80">
        <v>1512</v>
      </c>
      <c r="Q11" s="81">
        <v>10676</v>
      </c>
      <c r="R11" s="80">
        <v>83082</v>
      </c>
      <c r="U11" t="s">
        <v>4</v>
      </c>
      <c r="V11" s="17">
        <v>3849</v>
      </c>
      <c r="W11" s="17">
        <v>1045</v>
      </c>
      <c r="X11" s="17">
        <v>4894</v>
      </c>
      <c r="Y11" s="17">
        <v>3734</v>
      </c>
      <c r="Z11" s="17">
        <v>1028</v>
      </c>
      <c r="AA11" s="17">
        <v>4762</v>
      </c>
      <c r="AB11" s="17">
        <v>3344</v>
      </c>
      <c r="AC11" s="17">
        <v>728</v>
      </c>
      <c r="AD11" s="17">
        <v>4072</v>
      </c>
      <c r="AE11" s="17">
        <v>3258</v>
      </c>
      <c r="AF11" s="17">
        <v>732</v>
      </c>
      <c r="AG11" s="17">
        <v>3990</v>
      </c>
      <c r="AH11" s="17">
        <v>2296</v>
      </c>
      <c r="AI11" s="17">
        <v>113</v>
      </c>
      <c r="AJ11" s="17">
        <v>2409</v>
      </c>
      <c r="AK11" s="17">
        <v>20127</v>
      </c>
    </row>
    <row r="12" spans="1:37" x14ac:dyDescent="0.2">
      <c r="A12" s="24" t="s">
        <v>8</v>
      </c>
      <c r="B12" s="19" t="s">
        <v>5</v>
      </c>
      <c r="C12" s="20">
        <v>3513</v>
      </c>
      <c r="D12" s="20">
        <v>639</v>
      </c>
      <c r="E12" s="56">
        <v>4152</v>
      </c>
      <c r="F12" s="20">
        <v>3847</v>
      </c>
      <c r="G12" s="20">
        <v>872</v>
      </c>
      <c r="H12" s="56">
        <v>4719</v>
      </c>
      <c r="I12" s="20">
        <v>3799</v>
      </c>
      <c r="J12" s="20">
        <v>1078</v>
      </c>
      <c r="K12" s="56">
        <v>4877</v>
      </c>
      <c r="L12" s="20">
        <v>3769</v>
      </c>
      <c r="M12" s="20">
        <v>1404</v>
      </c>
      <c r="N12" s="56">
        <v>5173</v>
      </c>
      <c r="O12" s="20">
        <v>3694</v>
      </c>
      <c r="P12" s="20">
        <v>1368</v>
      </c>
      <c r="Q12" s="56">
        <v>5062</v>
      </c>
      <c r="R12" s="20">
        <v>23983</v>
      </c>
      <c r="T12" t="s">
        <v>147</v>
      </c>
      <c r="V12" s="17">
        <v>13792</v>
      </c>
      <c r="W12" s="17">
        <v>6864</v>
      </c>
      <c r="X12" s="17">
        <v>20656</v>
      </c>
      <c r="Y12" s="17">
        <v>13523</v>
      </c>
      <c r="Z12" s="17">
        <v>6828</v>
      </c>
      <c r="AA12" s="17">
        <v>20351</v>
      </c>
      <c r="AB12" s="17">
        <v>12291</v>
      </c>
      <c r="AC12" s="17">
        <v>3594</v>
      </c>
      <c r="AD12" s="17">
        <v>15885</v>
      </c>
      <c r="AE12" s="17">
        <v>12028</v>
      </c>
      <c r="AF12" s="17">
        <v>3486</v>
      </c>
      <c r="AG12" s="17">
        <v>15514</v>
      </c>
      <c r="AH12" s="17">
        <v>9164</v>
      </c>
      <c r="AI12" s="17">
        <v>1512</v>
      </c>
      <c r="AJ12" s="17">
        <v>10676</v>
      </c>
      <c r="AK12" s="17">
        <v>83082</v>
      </c>
    </row>
    <row r="13" spans="1:37" x14ac:dyDescent="0.2">
      <c r="A13" s="24"/>
      <c r="B13" s="19" t="s">
        <v>4</v>
      </c>
      <c r="C13" s="20">
        <v>3385</v>
      </c>
      <c r="D13" s="20">
        <v>101</v>
      </c>
      <c r="E13" s="56">
        <v>3486</v>
      </c>
      <c r="F13" s="20">
        <v>3545</v>
      </c>
      <c r="G13" s="20">
        <v>172</v>
      </c>
      <c r="H13" s="56">
        <v>3717</v>
      </c>
      <c r="I13" s="20">
        <v>3300</v>
      </c>
      <c r="J13" s="20">
        <v>206</v>
      </c>
      <c r="K13" s="56">
        <v>3506</v>
      </c>
      <c r="L13" s="20">
        <v>2903</v>
      </c>
      <c r="M13" s="20">
        <v>442</v>
      </c>
      <c r="N13" s="56">
        <v>3345</v>
      </c>
      <c r="O13" s="20">
        <v>2766</v>
      </c>
      <c r="P13" s="20">
        <v>690</v>
      </c>
      <c r="Q13" s="56">
        <v>3456</v>
      </c>
      <c r="R13" s="20">
        <v>17510</v>
      </c>
      <c r="T13" t="s">
        <v>8</v>
      </c>
      <c r="U13" t="s">
        <v>5</v>
      </c>
      <c r="V13" s="17">
        <v>3513</v>
      </c>
      <c r="W13" s="17">
        <v>639</v>
      </c>
      <c r="X13" s="17">
        <v>4152</v>
      </c>
      <c r="Y13" s="17">
        <v>3847</v>
      </c>
      <c r="Z13" s="17">
        <v>872</v>
      </c>
      <c r="AA13" s="17">
        <v>4719</v>
      </c>
      <c r="AB13" s="17">
        <v>3799</v>
      </c>
      <c r="AC13" s="17">
        <v>1078</v>
      </c>
      <c r="AD13" s="17">
        <v>4877</v>
      </c>
      <c r="AE13" s="17">
        <v>3769</v>
      </c>
      <c r="AF13" s="17">
        <v>1404</v>
      </c>
      <c r="AG13" s="17">
        <v>5173</v>
      </c>
      <c r="AH13" s="17">
        <v>3694</v>
      </c>
      <c r="AI13" s="17">
        <v>1368</v>
      </c>
      <c r="AJ13" s="17">
        <v>5062</v>
      </c>
      <c r="AK13" s="17">
        <v>23983</v>
      </c>
    </row>
    <row r="14" spans="1:37" x14ac:dyDescent="0.2">
      <c r="A14" s="24" t="s">
        <v>148</v>
      </c>
      <c r="B14" s="24"/>
      <c r="C14" s="80">
        <v>6898</v>
      </c>
      <c r="D14" s="80">
        <v>740</v>
      </c>
      <c r="E14" s="81">
        <v>7638</v>
      </c>
      <c r="F14" s="80">
        <v>7392</v>
      </c>
      <c r="G14" s="80">
        <v>1044</v>
      </c>
      <c r="H14" s="81">
        <v>8436</v>
      </c>
      <c r="I14" s="80">
        <v>7099</v>
      </c>
      <c r="J14" s="80">
        <v>1284</v>
      </c>
      <c r="K14" s="81">
        <v>8383</v>
      </c>
      <c r="L14" s="80">
        <v>6672</v>
      </c>
      <c r="M14" s="80">
        <v>1846</v>
      </c>
      <c r="N14" s="81">
        <v>8518</v>
      </c>
      <c r="O14" s="80">
        <v>6460</v>
      </c>
      <c r="P14" s="80">
        <v>2058</v>
      </c>
      <c r="Q14" s="81">
        <v>8518</v>
      </c>
      <c r="R14" s="80">
        <v>41493</v>
      </c>
      <c r="U14" t="s">
        <v>4</v>
      </c>
      <c r="V14" s="17">
        <v>3385</v>
      </c>
      <c r="W14" s="17">
        <v>101</v>
      </c>
      <c r="X14" s="17">
        <v>3486</v>
      </c>
      <c r="Y14" s="17">
        <v>3545</v>
      </c>
      <c r="Z14" s="17">
        <v>172</v>
      </c>
      <c r="AA14" s="17">
        <v>3717</v>
      </c>
      <c r="AB14" s="17">
        <v>3300</v>
      </c>
      <c r="AC14" s="17">
        <v>206</v>
      </c>
      <c r="AD14" s="17">
        <v>3506</v>
      </c>
      <c r="AE14" s="17">
        <v>2903</v>
      </c>
      <c r="AF14" s="17">
        <v>442</v>
      </c>
      <c r="AG14" s="17">
        <v>3345</v>
      </c>
      <c r="AH14" s="17">
        <v>2766</v>
      </c>
      <c r="AI14" s="17">
        <v>690</v>
      </c>
      <c r="AJ14" s="17">
        <v>3456</v>
      </c>
      <c r="AK14" s="17">
        <v>17510</v>
      </c>
    </row>
    <row r="15" spans="1:37" x14ac:dyDescent="0.2">
      <c r="A15" s="24" t="s">
        <v>9</v>
      </c>
      <c r="B15" s="19" t="s">
        <v>5</v>
      </c>
      <c r="C15" s="20">
        <v>64414</v>
      </c>
      <c r="D15" s="20">
        <v>36559</v>
      </c>
      <c r="E15" s="56">
        <v>100973</v>
      </c>
      <c r="F15" s="20">
        <v>65048</v>
      </c>
      <c r="G15" s="20">
        <v>38055</v>
      </c>
      <c r="H15" s="56">
        <v>103103</v>
      </c>
      <c r="I15" s="20">
        <v>66073</v>
      </c>
      <c r="J15" s="20">
        <v>37992</v>
      </c>
      <c r="K15" s="56">
        <v>104065</v>
      </c>
      <c r="L15" s="20">
        <v>66415</v>
      </c>
      <c r="M15" s="20">
        <v>39259</v>
      </c>
      <c r="N15" s="56">
        <v>105674</v>
      </c>
      <c r="O15" s="20">
        <v>67660</v>
      </c>
      <c r="P15" s="20">
        <v>41002</v>
      </c>
      <c r="Q15" s="56">
        <v>108662</v>
      </c>
      <c r="R15" s="20">
        <v>522477</v>
      </c>
      <c r="T15" t="s">
        <v>148</v>
      </c>
      <c r="V15" s="17">
        <v>6898</v>
      </c>
      <c r="W15" s="17">
        <v>740</v>
      </c>
      <c r="X15" s="17">
        <v>7638</v>
      </c>
      <c r="Y15" s="17">
        <v>7392</v>
      </c>
      <c r="Z15" s="17">
        <v>1044</v>
      </c>
      <c r="AA15" s="17">
        <v>8436</v>
      </c>
      <c r="AB15" s="17">
        <v>7099</v>
      </c>
      <c r="AC15" s="17">
        <v>1284</v>
      </c>
      <c r="AD15" s="17">
        <v>8383</v>
      </c>
      <c r="AE15" s="17">
        <v>6672</v>
      </c>
      <c r="AF15" s="17">
        <v>1846</v>
      </c>
      <c r="AG15" s="17">
        <v>8518</v>
      </c>
      <c r="AH15" s="17">
        <v>6460</v>
      </c>
      <c r="AI15" s="17">
        <v>2058</v>
      </c>
      <c r="AJ15" s="17">
        <v>8518</v>
      </c>
      <c r="AK15" s="17">
        <v>41493</v>
      </c>
    </row>
    <row r="16" spans="1:37" x14ac:dyDescent="0.2">
      <c r="A16" s="24"/>
      <c r="B16" s="19" t="s">
        <v>4</v>
      </c>
      <c r="C16" s="20">
        <v>29679</v>
      </c>
      <c r="D16" s="20">
        <v>5318</v>
      </c>
      <c r="E16" s="56">
        <v>34997</v>
      </c>
      <c r="F16" s="20">
        <v>29352</v>
      </c>
      <c r="G16" s="20">
        <v>5632</v>
      </c>
      <c r="H16" s="56">
        <v>34984</v>
      </c>
      <c r="I16" s="20">
        <v>30063</v>
      </c>
      <c r="J16" s="20">
        <v>5854</v>
      </c>
      <c r="K16" s="56">
        <v>35917</v>
      </c>
      <c r="L16" s="20">
        <v>29753</v>
      </c>
      <c r="M16" s="20">
        <v>6484</v>
      </c>
      <c r="N16" s="56">
        <v>36237</v>
      </c>
      <c r="O16" s="20">
        <v>30152</v>
      </c>
      <c r="P16" s="20">
        <v>7498</v>
      </c>
      <c r="Q16" s="56">
        <v>37650</v>
      </c>
      <c r="R16" s="20">
        <v>179785</v>
      </c>
      <c r="T16" t="s">
        <v>9</v>
      </c>
      <c r="U16" t="s">
        <v>5</v>
      </c>
      <c r="V16" s="17">
        <v>64414</v>
      </c>
      <c r="W16" s="17">
        <v>36559</v>
      </c>
      <c r="X16" s="17">
        <v>100973</v>
      </c>
      <c r="Y16" s="17">
        <v>65048</v>
      </c>
      <c r="Z16" s="17">
        <v>38055</v>
      </c>
      <c r="AA16" s="17">
        <v>103103</v>
      </c>
      <c r="AB16" s="17">
        <v>66073</v>
      </c>
      <c r="AC16" s="17">
        <v>37992</v>
      </c>
      <c r="AD16" s="17">
        <v>104065</v>
      </c>
      <c r="AE16" s="17">
        <v>66415</v>
      </c>
      <c r="AF16" s="17">
        <v>39259</v>
      </c>
      <c r="AG16" s="17">
        <v>105674</v>
      </c>
      <c r="AH16" s="17">
        <v>67660</v>
      </c>
      <c r="AI16" s="17">
        <v>41002</v>
      </c>
      <c r="AJ16" s="17">
        <v>108662</v>
      </c>
      <c r="AK16" s="17">
        <v>522477</v>
      </c>
    </row>
    <row r="17" spans="1:37" x14ac:dyDescent="0.2">
      <c r="A17" s="24" t="s">
        <v>149</v>
      </c>
      <c r="B17" s="24"/>
      <c r="C17" s="80">
        <v>94093</v>
      </c>
      <c r="D17" s="80">
        <v>41877</v>
      </c>
      <c r="E17" s="81">
        <v>135970</v>
      </c>
      <c r="F17" s="80">
        <v>94400</v>
      </c>
      <c r="G17" s="80">
        <v>43687</v>
      </c>
      <c r="H17" s="81">
        <v>138087</v>
      </c>
      <c r="I17" s="80">
        <v>96136</v>
      </c>
      <c r="J17" s="80">
        <v>43846</v>
      </c>
      <c r="K17" s="81">
        <v>139982</v>
      </c>
      <c r="L17" s="80">
        <v>96168</v>
      </c>
      <c r="M17" s="80">
        <v>45743</v>
      </c>
      <c r="N17" s="81">
        <v>141911</v>
      </c>
      <c r="O17" s="80">
        <v>97812</v>
      </c>
      <c r="P17" s="80">
        <v>48500</v>
      </c>
      <c r="Q17" s="81">
        <v>146312</v>
      </c>
      <c r="R17" s="80">
        <v>702262</v>
      </c>
      <c r="U17" t="s">
        <v>4</v>
      </c>
      <c r="V17" s="17">
        <v>29679</v>
      </c>
      <c r="W17" s="17">
        <v>5318</v>
      </c>
      <c r="X17" s="17">
        <v>34997</v>
      </c>
      <c r="Y17" s="17">
        <v>29352</v>
      </c>
      <c r="Z17" s="17">
        <v>5632</v>
      </c>
      <c r="AA17" s="17">
        <v>34984</v>
      </c>
      <c r="AB17" s="17">
        <v>30063</v>
      </c>
      <c r="AC17" s="17">
        <v>5854</v>
      </c>
      <c r="AD17" s="17">
        <v>35917</v>
      </c>
      <c r="AE17" s="17">
        <v>29753</v>
      </c>
      <c r="AF17" s="17">
        <v>6484</v>
      </c>
      <c r="AG17" s="17">
        <v>36237</v>
      </c>
      <c r="AH17" s="17">
        <v>30152</v>
      </c>
      <c r="AI17" s="17">
        <v>7498</v>
      </c>
      <c r="AJ17" s="17">
        <v>37650</v>
      </c>
      <c r="AK17" s="17">
        <v>179785</v>
      </c>
    </row>
    <row r="18" spans="1:37" x14ac:dyDescent="0.2">
      <c r="A18" s="24" t="s">
        <v>10</v>
      </c>
      <c r="B18" s="19" t="s">
        <v>5</v>
      </c>
      <c r="C18" s="20">
        <v>12713</v>
      </c>
      <c r="D18" s="20">
        <v>2788</v>
      </c>
      <c r="E18" s="56">
        <v>15501</v>
      </c>
      <c r="F18" s="20">
        <v>7342</v>
      </c>
      <c r="G18" s="20">
        <v>1697</v>
      </c>
      <c r="H18" s="56">
        <v>9039</v>
      </c>
      <c r="I18" s="20">
        <v>7270</v>
      </c>
      <c r="J18" s="20">
        <v>1521</v>
      </c>
      <c r="K18" s="56">
        <v>8791</v>
      </c>
      <c r="L18" s="20">
        <v>7216</v>
      </c>
      <c r="M18" s="20">
        <v>1567</v>
      </c>
      <c r="N18" s="56">
        <v>8783</v>
      </c>
      <c r="O18" s="20">
        <v>5739</v>
      </c>
      <c r="P18" s="20">
        <v>699</v>
      </c>
      <c r="Q18" s="56">
        <v>6438</v>
      </c>
      <c r="R18" s="20">
        <v>48552</v>
      </c>
      <c r="T18" t="s">
        <v>149</v>
      </c>
      <c r="V18" s="17">
        <v>94093</v>
      </c>
      <c r="W18" s="17">
        <v>41877</v>
      </c>
      <c r="X18" s="17">
        <v>135970</v>
      </c>
      <c r="Y18" s="17">
        <v>94400</v>
      </c>
      <c r="Z18" s="17">
        <v>43687</v>
      </c>
      <c r="AA18" s="17">
        <v>138087</v>
      </c>
      <c r="AB18" s="17">
        <v>96136</v>
      </c>
      <c r="AC18" s="17">
        <v>43846</v>
      </c>
      <c r="AD18" s="17">
        <v>139982</v>
      </c>
      <c r="AE18" s="17">
        <v>96168</v>
      </c>
      <c r="AF18" s="17">
        <v>45743</v>
      </c>
      <c r="AG18" s="17">
        <v>141911</v>
      </c>
      <c r="AH18" s="17">
        <v>97812</v>
      </c>
      <c r="AI18" s="17">
        <v>48500</v>
      </c>
      <c r="AJ18" s="17">
        <v>146312</v>
      </c>
      <c r="AK18" s="17">
        <v>702262</v>
      </c>
    </row>
    <row r="19" spans="1:37" x14ac:dyDescent="0.2">
      <c r="A19" s="24"/>
      <c r="B19" s="19" t="s">
        <v>4</v>
      </c>
      <c r="C19" s="20">
        <v>12084</v>
      </c>
      <c r="D19" s="20">
        <v>654</v>
      </c>
      <c r="E19" s="56">
        <v>12738</v>
      </c>
      <c r="F19" s="20">
        <v>7719</v>
      </c>
      <c r="G19" s="20">
        <v>376</v>
      </c>
      <c r="H19" s="56">
        <v>8095</v>
      </c>
      <c r="I19" s="20">
        <v>7443</v>
      </c>
      <c r="J19" s="20">
        <v>331</v>
      </c>
      <c r="K19" s="56">
        <v>7774</v>
      </c>
      <c r="L19" s="20">
        <v>7074</v>
      </c>
      <c r="M19" s="20">
        <v>337</v>
      </c>
      <c r="N19" s="56">
        <v>7411</v>
      </c>
      <c r="O19" s="20">
        <v>5650</v>
      </c>
      <c r="P19" s="20">
        <v>114</v>
      </c>
      <c r="Q19" s="56">
        <v>5764</v>
      </c>
      <c r="R19" s="20">
        <v>41782</v>
      </c>
      <c r="T19" t="s">
        <v>10</v>
      </c>
      <c r="U19" t="s">
        <v>5</v>
      </c>
      <c r="V19" s="17">
        <v>12713</v>
      </c>
      <c r="W19" s="17">
        <v>2788</v>
      </c>
      <c r="X19" s="17">
        <v>15501</v>
      </c>
      <c r="Y19" s="17">
        <v>7342</v>
      </c>
      <c r="Z19" s="17">
        <v>1697</v>
      </c>
      <c r="AA19" s="17">
        <v>9039</v>
      </c>
      <c r="AB19" s="17">
        <v>7270</v>
      </c>
      <c r="AC19" s="17">
        <v>1521</v>
      </c>
      <c r="AD19" s="17">
        <v>8791</v>
      </c>
      <c r="AE19" s="17">
        <v>7216</v>
      </c>
      <c r="AF19" s="17">
        <v>1567</v>
      </c>
      <c r="AG19" s="17">
        <v>8783</v>
      </c>
      <c r="AH19" s="17">
        <v>5739</v>
      </c>
      <c r="AI19" s="17">
        <v>699</v>
      </c>
      <c r="AJ19" s="17">
        <v>6438</v>
      </c>
      <c r="AK19" s="17">
        <v>48552</v>
      </c>
    </row>
    <row r="20" spans="1:37" x14ac:dyDescent="0.2">
      <c r="A20" s="24" t="s">
        <v>150</v>
      </c>
      <c r="B20" s="24"/>
      <c r="C20" s="80">
        <v>24797</v>
      </c>
      <c r="D20" s="80">
        <v>3442</v>
      </c>
      <c r="E20" s="81">
        <v>28239</v>
      </c>
      <c r="F20" s="80">
        <v>15061</v>
      </c>
      <c r="G20" s="80">
        <v>2073</v>
      </c>
      <c r="H20" s="81">
        <v>17134</v>
      </c>
      <c r="I20" s="80">
        <v>14713</v>
      </c>
      <c r="J20" s="80">
        <v>1852</v>
      </c>
      <c r="K20" s="81">
        <v>16565</v>
      </c>
      <c r="L20" s="80">
        <v>14290</v>
      </c>
      <c r="M20" s="80">
        <v>1904</v>
      </c>
      <c r="N20" s="81">
        <v>16194</v>
      </c>
      <c r="O20" s="80">
        <v>11389</v>
      </c>
      <c r="P20" s="80">
        <v>813</v>
      </c>
      <c r="Q20" s="81">
        <v>12202</v>
      </c>
      <c r="R20" s="80">
        <v>90334</v>
      </c>
      <c r="U20" t="s">
        <v>4</v>
      </c>
      <c r="V20" s="17">
        <v>12084</v>
      </c>
      <c r="W20" s="17">
        <v>654</v>
      </c>
      <c r="X20" s="17">
        <v>12738</v>
      </c>
      <c r="Y20" s="17">
        <v>7719</v>
      </c>
      <c r="Z20" s="17">
        <v>376</v>
      </c>
      <c r="AA20" s="17">
        <v>8095</v>
      </c>
      <c r="AB20" s="17">
        <v>7443</v>
      </c>
      <c r="AC20" s="17">
        <v>331</v>
      </c>
      <c r="AD20" s="17">
        <v>7774</v>
      </c>
      <c r="AE20" s="17">
        <v>7074</v>
      </c>
      <c r="AF20" s="17">
        <v>337</v>
      </c>
      <c r="AG20" s="17">
        <v>7411</v>
      </c>
      <c r="AH20" s="17">
        <v>5650</v>
      </c>
      <c r="AI20" s="17">
        <v>114</v>
      </c>
      <c r="AJ20" s="17">
        <v>5764</v>
      </c>
      <c r="AK20" s="17">
        <v>41782</v>
      </c>
    </row>
    <row r="21" spans="1:37" x14ac:dyDescent="0.2">
      <c r="A21" s="24" t="s">
        <v>11</v>
      </c>
      <c r="B21" s="19" t="s">
        <v>5</v>
      </c>
      <c r="C21" s="20">
        <v>13944</v>
      </c>
      <c r="D21" s="20">
        <v>3529</v>
      </c>
      <c r="E21" s="56">
        <v>17473</v>
      </c>
      <c r="F21" s="20">
        <v>14305</v>
      </c>
      <c r="G21" s="20">
        <v>3590</v>
      </c>
      <c r="H21" s="56">
        <v>17895</v>
      </c>
      <c r="I21" s="20">
        <v>15280</v>
      </c>
      <c r="J21" s="20">
        <v>2811</v>
      </c>
      <c r="K21" s="56">
        <v>18091</v>
      </c>
      <c r="L21" s="20">
        <v>14800</v>
      </c>
      <c r="M21" s="20">
        <v>3505</v>
      </c>
      <c r="N21" s="56">
        <v>18305</v>
      </c>
      <c r="O21" s="20">
        <v>15401</v>
      </c>
      <c r="P21" s="20">
        <v>3574</v>
      </c>
      <c r="Q21" s="56">
        <v>18975</v>
      </c>
      <c r="R21" s="20">
        <v>90739</v>
      </c>
      <c r="T21" t="s">
        <v>150</v>
      </c>
      <c r="V21" s="17">
        <v>24797</v>
      </c>
      <c r="W21" s="17">
        <v>3442</v>
      </c>
      <c r="X21" s="17">
        <v>28239</v>
      </c>
      <c r="Y21" s="17">
        <v>15061</v>
      </c>
      <c r="Z21" s="17">
        <v>2073</v>
      </c>
      <c r="AA21" s="17">
        <v>17134</v>
      </c>
      <c r="AB21" s="17">
        <v>14713</v>
      </c>
      <c r="AC21" s="17">
        <v>1852</v>
      </c>
      <c r="AD21" s="17">
        <v>16565</v>
      </c>
      <c r="AE21" s="17">
        <v>14290</v>
      </c>
      <c r="AF21" s="17">
        <v>1904</v>
      </c>
      <c r="AG21" s="17">
        <v>16194</v>
      </c>
      <c r="AH21" s="17">
        <v>11389</v>
      </c>
      <c r="AI21" s="17">
        <v>813</v>
      </c>
      <c r="AJ21" s="17">
        <v>12202</v>
      </c>
      <c r="AK21" s="17">
        <v>90334</v>
      </c>
    </row>
    <row r="22" spans="1:37" x14ac:dyDescent="0.2">
      <c r="A22" s="24"/>
      <c r="B22" s="19" t="s">
        <v>4</v>
      </c>
      <c r="C22" s="20">
        <v>26711</v>
      </c>
      <c r="D22" s="20">
        <v>418</v>
      </c>
      <c r="E22" s="56">
        <v>27129</v>
      </c>
      <c r="F22" s="20">
        <v>27160</v>
      </c>
      <c r="G22" s="20">
        <v>418</v>
      </c>
      <c r="H22" s="56">
        <v>27578</v>
      </c>
      <c r="I22" s="20">
        <v>27224</v>
      </c>
      <c r="J22" s="20">
        <v>316</v>
      </c>
      <c r="K22" s="56">
        <v>27540</v>
      </c>
      <c r="L22" s="20">
        <v>26961</v>
      </c>
      <c r="M22" s="20">
        <v>735</v>
      </c>
      <c r="N22" s="56">
        <v>27696</v>
      </c>
      <c r="O22" s="20">
        <v>27076</v>
      </c>
      <c r="P22" s="20">
        <v>1447</v>
      </c>
      <c r="Q22" s="56">
        <v>28523</v>
      </c>
      <c r="R22" s="20">
        <v>138466</v>
      </c>
      <c r="T22" t="s">
        <v>11</v>
      </c>
      <c r="U22" t="s">
        <v>5</v>
      </c>
      <c r="V22" s="17">
        <v>13944</v>
      </c>
      <c r="W22" s="17">
        <v>3529</v>
      </c>
      <c r="X22" s="17">
        <v>17473</v>
      </c>
      <c r="Y22" s="17">
        <v>14305</v>
      </c>
      <c r="Z22" s="17">
        <v>3590</v>
      </c>
      <c r="AA22" s="17">
        <v>17895</v>
      </c>
      <c r="AB22" s="17">
        <v>15280</v>
      </c>
      <c r="AC22" s="17">
        <v>2811</v>
      </c>
      <c r="AD22" s="17">
        <v>18091</v>
      </c>
      <c r="AE22" s="17">
        <v>14800</v>
      </c>
      <c r="AF22" s="17">
        <v>3505</v>
      </c>
      <c r="AG22" s="17">
        <v>18305</v>
      </c>
      <c r="AH22" s="17">
        <v>15401</v>
      </c>
      <c r="AI22" s="17">
        <v>3574</v>
      </c>
      <c r="AJ22" s="17">
        <v>18975</v>
      </c>
      <c r="AK22" s="17">
        <v>90739</v>
      </c>
    </row>
    <row r="23" spans="1:37" x14ac:dyDescent="0.2">
      <c r="A23" s="24" t="s">
        <v>151</v>
      </c>
      <c r="B23" s="24"/>
      <c r="C23" s="80">
        <v>40655</v>
      </c>
      <c r="D23" s="80">
        <v>3947</v>
      </c>
      <c r="E23" s="81">
        <v>44602</v>
      </c>
      <c r="F23" s="80">
        <v>41465</v>
      </c>
      <c r="G23" s="80">
        <v>4008</v>
      </c>
      <c r="H23" s="81">
        <v>45473</v>
      </c>
      <c r="I23" s="80">
        <v>42504</v>
      </c>
      <c r="J23" s="80">
        <v>3127</v>
      </c>
      <c r="K23" s="81">
        <v>45631</v>
      </c>
      <c r="L23" s="80">
        <v>41761</v>
      </c>
      <c r="M23" s="80">
        <v>4240</v>
      </c>
      <c r="N23" s="81">
        <v>46001</v>
      </c>
      <c r="O23" s="80">
        <v>42477</v>
      </c>
      <c r="P23" s="80">
        <v>5021</v>
      </c>
      <c r="Q23" s="81">
        <v>47498</v>
      </c>
      <c r="R23" s="80">
        <v>229205</v>
      </c>
      <c r="U23" t="s">
        <v>4</v>
      </c>
      <c r="V23" s="17">
        <v>26711</v>
      </c>
      <c r="W23" s="17">
        <v>418</v>
      </c>
      <c r="X23" s="17">
        <v>27129</v>
      </c>
      <c r="Y23" s="17">
        <v>27160</v>
      </c>
      <c r="Z23" s="17">
        <v>418</v>
      </c>
      <c r="AA23" s="17">
        <v>27578</v>
      </c>
      <c r="AB23" s="17">
        <v>27224</v>
      </c>
      <c r="AC23" s="17">
        <v>316</v>
      </c>
      <c r="AD23" s="17">
        <v>27540</v>
      </c>
      <c r="AE23" s="17">
        <v>26961</v>
      </c>
      <c r="AF23" s="17">
        <v>735</v>
      </c>
      <c r="AG23" s="17">
        <v>27696</v>
      </c>
      <c r="AH23" s="17">
        <v>27076</v>
      </c>
      <c r="AI23" s="17">
        <v>1447</v>
      </c>
      <c r="AJ23" s="17">
        <v>28523</v>
      </c>
      <c r="AK23" s="17">
        <v>138466</v>
      </c>
    </row>
    <row r="24" spans="1:37" x14ac:dyDescent="0.2">
      <c r="A24" s="24" t="s">
        <v>12</v>
      </c>
      <c r="B24" s="19" t="s">
        <v>5</v>
      </c>
      <c r="C24" s="20">
        <v>3039</v>
      </c>
      <c r="D24" s="20">
        <v>1032</v>
      </c>
      <c r="E24" s="56">
        <v>4071</v>
      </c>
      <c r="F24" s="20">
        <v>2959</v>
      </c>
      <c r="G24" s="20">
        <v>1075</v>
      </c>
      <c r="H24" s="56">
        <v>4034</v>
      </c>
      <c r="I24" s="20">
        <v>3182</v>
      </c>
      <c r="J24" s="20">
        <v>1081</v>
      </c>
      <c r="K24" s="56">
        <v>4263</v>
      </c>
      <c r="L24" s="20">
        <v>3553</v>
      </c>
      <c r="M24" s="20">
        <v>1256</v>
      </c>
      <c r="N24" s="56">
        <v>4809</v>
      </c>
      <c r="O24" s="20">
        <v>3814</v>
      </c>
      <c r="P24" s="20">
        <v>1251</v>
      </c>
      <c r="Q24" s="56">
        <v>5065</v>
      </c>
      <c r="R24" s="20">
        <v>22242</v>
      </c>
      <c r="T24" t="s">
        <v>151</v>
      </c>
      <c r="V24" s="17">
        <v>40655</v>
      </c>
      <c r="W24" s="17">
        <v>3947</v>
      </c>
      <c r="X24" s="17">
        <v>44602</v>
      </c>
      <c r="Y24" s="17">
        <v>41465</v>
      </c>
      <c r="Z24" s="17">
        <v>4008</v>
      </c>
      <c r="AA24" s="17">
        <v>45473</v>
      </c>
      <c r="AB24" s="17">
        <v>42504</v>
      </c>
      <c r="AC24" s="17">
        <v>3127</v>
      </c>
      <c r="AD24" s="17">
        <v>45631</v>
      </c>
      <c r="AE24" s="17">
        <v>41761</v>
      </c>
      <c r="AF24" s="17">
        <v>4240</v>
      </c>
      <c r="AG24" s="17">
        <v>46001</v>
      </c>
      <c r="AH24" s="17">
        <v>42477</v>
      </c>
      <c r="AI24" s="17">
        <v>5021</v>
      </c>
      <c r="AJ24" s="17">
        <v>47498</v>
      </c>
      <c r="AK24" s="17">
        <v>229205</v>
      </c>
    </row>
    <row r="25" spans="1:37" x14ac:dyDescent="0.2">
      <c r="A25" s="24"/>
      <c r="B25" s="19" t="s">
        <v>4</v>
      </c>
      <c r="C25" s="20">
        <v>5407</v>
      </c>
      <c r="D25" s="20">
        <v>294</v>
      </c>
      <c r="E25" s="56">
        <v>5701</v>
      </c>
      <c r="F25" s="20">
        <v>5349</v>
      </c>
      <c r="G25" s="20">
        <v>279</v>
      </c>
      <c r="H25" s="56">
        <v>5628</v>
      </c>
      <c r="I25" s="20">
        <v>5294</v>
      </c>
      <c r="J25" s="20">
        <v>284</v>
      </c>
      <c r="K25" s="56">
        <v>5578</v>
      </c>
      <c r="L25" s="20">
        <v>5507</v>
      </c>
      <c r="M25" s="20">
        <v>320</v>
      </c>
      <c r="N25" s="56">
        <v>5827</v>
      </c>
      <c r="O25" s="20">
        <v>5580</v>
      </c>
      <c r="P25" s="20">
        <v>302</v>
      </c>
      <c r="Q25" s="56">
        <v>5882</v>
      </c>
      <c r="R25" s="20">
        <v>28616</v>
      </c>
      <c r="T25" t="s">
        <v>12</v>
      </c>
      <c r="U25" t="s">
        <v>5</v>
      </c>
      <c r="V25" s="17">
        <v>3039</v>
      </c>
      <c r="W25" s="17">
        <v>1032</v>
      </c>
      <c r="X25" s="17">
        <v>4071</v>
      </c>
      <c r="Y25" s="17">
        <v>2959</v>
      </c>
      <c r="Z25" s="17">
        <v>1075</v>
      </c>
      <c r="AA25" s="17">
        <v>4034</v>
      </c>
      <c r="AB25" s="17">
        <v>3182</v>
      </c>
      <c r="AC25" s="17">
        <v>1081</v>
      </c>
      <c r="AD25" s="17">
        <v>4263</v>
      </c>
      <c r="AE25" s="17">
        <v>3553</v>
      </c>
      <c r="AF25" s="17">
        <v>1256</v>
      </c>
      <c r="AG25" s="17">
        <v>4809</v>
      </c>
      <c r="AH25" s="17">
        <v>3814</v>
      </c>
      <c r="AI25" s="17">
        <v>1251</v>
      </c>
      <c r="AJ25" s="17">
        <v>5065</v>
      </c>
      <c r="AK25" s="17">
        <v>22242</v>
      </c>
    </row>
    <row r="26" spans="1:37" x14ac:dyDescent="0.2">
      <c r="A26" s="24" t="s">
        <v>152</v>
      </c>
      <c r="B26" s="24"/>
      <c r="C26" s="80">
        <v>8446</v>
      </c>
      <c r="D26" s="80">
        <v>1326</v>
      </c>
      <c r="E26" s="81">
        <v>9772</v>
      </c>
      <c r="F26" s="80">
        <v>8308</v>
      </c>
      <c r="G26" s="80">
        <v>1354</v>
      </c>
      <c r="H26" s="81">
        <v>9662</v>
      </c>
      <c r="I26" s="80">
        <v>8476</v>
      </c>
      <c r="J26" s="80">
        <v>1365</v>
      </c>
      <c r="K26" s="81">
        <v>9841</v>
      </c>
      <c r="L26" s="80">
        <v>9060</v>
      </c>
      <c r="M26" s="80">
        <v>1576</v>
      </c>
      <c r="N26" s="81">
        <v>10636</v>
      </c>
      <c r="O26" s="80">
        <v>9394</v>
      </c>
      <c r="P26" s="80">
        <v>1553</v>
      </c>
      <c r="Q26" s="81">
        <v>10947</v>
      </c>
      <c r="R26" s="80">
        <v>50858</v>
      </c>
      <c r="U26" t="s">
        <v>4</v>
      </c>
      <c r="V26" s="17">
        <v>5407</v>
      </c>
      <c r="W26" s="17">
        <v>294</v>
      </c>
      <c r="X26" s="17">
        <v>5701</v>
      </c>
      <c r="Y26" s="17">
        <v>5349</v>
      </c>
      <c r="Z26" s="17">
        <v>279</v>
      </c>
      <c r="AA26" s="17">
        <v>5628</v>
      </c>
      <c r="AB26" s="17">
        <v>5294</v>
      </c>
      <c r="AC26" s="17">
        <v>284</v>
      </c>
      <c r="AD26" s="17">
        <v>5578</v>
      </c>
      <c r="AE26" s="17">
        <v>5507</v>
      </c>
      <c r="AF26" s="17">
        <v>320</v>
      </c>
      <c r="AG26" s="17">
        <v>5827</v>
      </c>
      <c r="AH26" s="17">
        <v>5580</v>
      </c>
      <c r="AI26" s="17">
        <v>302</v>
      </c>
      <c r="AJ26" s="17">
        <v>5882</v>
      </c>
      <c r="AK26" s="17">
        <v>28616</v>
      </c>
    </row>
    <row r="27" spans="1:37" x14ac:dyDescent="0.2">
      <c r="A27" s="24" t="s">
        <v>13</v>
      </c>
      <c r="B27" s="19" t="s">
        <v>5</v>
      </c>
      <c r="C27" s="20">
        <v>976</v>
      </c>
      <c r="D27" s="20">
        <v>219</v>
      </c>
      <c r="E27" s="56">
        <v>1195</v>
      </c>
      <c r="F27" s="20">
        <v>976</v>
      </c>
      <c r="G27" s="20">
        <v>230</v>
      </c>
      <c r="H27" s="56">
        <v>1206</v>
      </c>
      <c r="I27" s="20">
        <v>1157</v>
      </c>
      <c r="J27" s="20">
        <v>280</v>
      </c>
      <c r="K27" s="56">
        <v>1437</v>
      </c>
      <c r="L27" s="20">
        <v>1221</v>
      </c>
      <c r="M27" s="20">
        <v>288</v>
      </c>
      <c r="N27" s="56">
        <v>1509</v>
      </c>
      <c r="O27" s="20">
        <v>1386</v>
      </c>
      <c r="P27" s="20">
        <v>292</v>
      </c>
      <c r="Q27" s="56">
        <v>1678</v>
      </c>
      <c r="R27" s="20">
        <v>7025</v>
      </c>
      <c r="T27" t="s">
        <v>152</v>
      </c>
      <c r="V27" s="17">
        <v>8446</v>
      </c>
      <c r="W27" s="17">
        <v>1326</v>
      </c>
      <c r="X27" s="17">
        <v>9772</v>
      </c>
      <c r="Y27" s="17">
        <v>8308</v>
      </c>
      <c r="Z27" s="17">
        <v>1354</v>
      </c>
      <c r="AA27" s="17">
        <v>9662</v>
      </c>
      <c r="AB27" s="17">
        <v>8476</v>
      </c>
      <c r="AC27" s="17">
        <v>1365</v>
      </c>
      <c r="AD27" s="17">
        <v>9841</v>
      </c>
      <c r="AE27" s="17">
        <v>9060</v>
      </c>
      <c r="AF27" s="17">
        <v>1576</v>
      </c>
      <c r="AG27" s="17">
        <v>10636</v>
      </c>
      <c r="AH27" s="17">
        <v>9394</v>
      </c>
      <c r="AI27" s="17">
        <v>1553</v>
      </c>
      <c r="AJ27" s="17">
        <v>10947</v>
      </c>
      <c r="AK27" s="17">
        <v>50858</v>
      </c>
    </row>
    <row r="28" spans="1:37" x14ac:dyDescent="0.2">
      <c r="A28" s="24"/>
      <c r="B28" s="19" t="s">
        <v>4</v>
      </c>
      <c r="C28" s="20">
        <v>801</v>
      </c>
      <c r="D28" s="20">
        <v>67</v>
      </c>
      <c r="E28" s="56">
        <v>868</v>
      </c>
      <c r="F28" s="20">
        <v>811</v>
      </c>
      <c r="G28" s="20">
        <v>67</v>
      </c>
      <c r="H28" s="56">
        <v>878</v>
      </c>
      <c r="I28" s="20">
        <v>893</v>
      </c>
      <c r="J28" s="20">
        <v>80</v>
      </c>
      <c r="K28" s="56">
        <v>973</v>
      </c>
      <c r="L28" s="20">
        <v>1010</v>
      </c>
      <c r="M28" s="20">
        <v>69</v>
      </c>
      <c r="N28" s="56">
        <v>1079</v>
      </c>
      <c r="O28" s="20">
        <v>1061</v>
      </c>
      <c r="P28" s="20">
        <v>71</v>
      </c>
      <c r="Q28" s="56">
        <v>1132</v>
      </c>
      <c r="R28" s="20">
        <v>4930</v>
      </c>
      <c r="T28" t="s">
        <v>13</v>
      </c>
      <c r="U28" t="s">
        <v>5</v>
      </c>
      <c r="V28" s="17">
        <v>976</v>
      </c>
      <c r="W28" s="17">
        <v>219</v>
      </c>
      <c r="X28" s="17">
        <v>1195</v>
      </c>
      <c r="Y28" s="17">
        <v>976</v>
      </c>
      <c r="Z28" s="17">
        <v>230</v>
      </c>
      <c r="AA28" s="17">
        <v>1206</v>
      </c>
      <c r="AB28" s="17">
        <v>1157</v>
      </c>
      <c r="AC28" s="17">
        <v>280</v>
      </c>
      <c r="AD28" s="17">
        <v>1437</v>
      </c>
      <c r="AE28" s="17">
        <v>1221</v>
      </c>
      <c r="AF28" s="17">
        <v>288</v>
      </c>
      <c r="AG28" s="17">
        <v>1509</v>
      </c>
      <c r="AH28" s="17">
        <v>1386</v>
      </c>
      <c r="AI28" s="17">
        <v>292</v>
      </c>
      <c r="AJ28" s="17">
        <v>1678</v>
      </c>
      <c r="AK28" s="17">
        <v>7025</v>
      </c>
    </row>
    <row r="29" spans="1:37" x14ac:dyDescent="0.2">
      <c r="A29" s="24" t="s">
        <v>153</v>
      </c>
      <c r="B29" s="24"/>
      <c r="C29" s="80">
        <v>1777</v>
      </c>
      <c r="D29" s="80">
        <v>286</v>
      </c>
      <c r="E29" s="81">
        <v>2063</v>
      </c>
      <c r="F29" s="80">
        <v>1787</v>
      </c>
      <c r="G29" s="80">
        <v>297</v>
      </c>
      <c r="H29" s="81">
        <v>2084</v>
      </c>
      <c r="I29" s="80">
        <v>2050</v>
      </c>
      <c r="J29" s="80">
        <v>360</v>
      </c>
      <c r="K29" s="81">
        <v>2410</v>
      </c>
      <c r="L29" s="80">
        <v>2231</v>
      </c>
      <c r="M29" s="80">
        <v>357</v>
      </c>
      <c r="N29" s="81">
        <v>2588</v>
      </c>
      <c r="O29" s="80">
        <v>2447</v>
      </c>
      <c r="P29" s="80">
        <v>363</v>
      </c>
      <c r="Q29" s="81">
        <v>2810</v>
      </c>
      <c r="R29" s="80">
        <v>11955</v>
      </c>
      <c r="U29" t="s">
        <v>4</v>
      </c>
      <c r="V29" s="17">
        <v>801</v>
      </c>
      <c r="W29" s="17">
        <v>67</v>
      </c>
      <c r="X29" s="17">
        <v>868</v>
      </c>
      <c r="Y29" s="17">
        <v>811</v>
      </c>
      <c r="Z29" s="17">
        <v>67</v>
      </c>
      <c r="AA29" s="17">
        <v>878</v>
      </c>
      <c r="AB29" s="17">
        <v>893</v>
      </c>
      <c r="AC29" s="17">
        <v>80</v>
      </c>
      <c r="AD29" s="17">
        <v>973</v>
      </c>
      <c r="AE29" s="17">
        <v>1010</v>
      </c>
      <c r="AF29" s="17">
        <v>69</v>
      </c>
      <c r="AG29" s="17">
        <v>1079</v>
      </c>
      <c r="AH29" s="17">
        <v>1061</v>
      </c>
      <c r="AI29" s="17">
        <v>71</v>
      </c>
      <c r="AJ29" s="17">
        <v>1132</v>
      </c>
      <c r="AK29" s="17">
        <v>4930</v>
      </c>
    </row>
    <row r="30" spans="1:37" x14ac:dyDescent="0.2">
      <c r="A30" s="24" t="s">
        <v>14</v>
      </c>
      <c r="B30" s="19" t="s">
        <v>5</v>
      </c>
      <c r="C30" s="20">
        <v>5178</v>
      </c>
      <c r="D30" s="20">
        <v>1754</v>
      </c>
      <c r="E30" s="56">
        <v>6932</v>
      </c>
      <c r="F30" s="20">
        <v>5567</v>
      </c>
      <c r="G30" s="20">
        <v>1548</v>
      </c>
      <c r="H30" s="56">
        <v>7115</v>
      </c>
      <c r="I30" s="20">
        <v>5373</v>
      </c>
      <c r="J30" s="20">
        <v>1436</v>
      </c>
      <c r="K30" s="56">
        <v>6809</v>
      </c>
      <c r="L30" s="20">
        <v>5707</v>
      </c>
      <c r="M30" s="20">
        <v>1430</v>
      </c>
      <c r="N30" s="56">
        <v>7137</v>
      </c>
      <c r="O30" s="20">
        <v>6037</v>
      </c>
      <c r="P30" s="20">
        <v>1345</v>
      </c>
      <c r="Q30" s="56">
        <v>7382</v>
      </c>
      <c r="R30" s="20">
        <v>35375</v>
      </c>
      <c r="T30" t="s">
        <v>153</v>
      </c>
      <c r="V30" s="17">
        <v>1777</v>
      </c>
      <c r="W30" s="17">
        <v>286</v>
      </c>
      <c r="X30" s="17">
        <v>2063</v>
      </c>
      <c r="Y30" s="17">
        <v>1787</v>
      </c>
      <c r="Z30" s="17">
        <v>297</v>
      </c>
      <c r="AA30" s="17">
        <v>2084</v>
      </c>
      <c r="AB30" s="17">
        <v>2050</v>
      </c>
      <c r="AC30" s="17">
        <v>360</v>
      </c>
      <c r="AD30" s="17">
        <v>2410</v>
      </c>
      <c r="AE30" s="17">
        <v>2231</v>
      </c>
      <c r="AF30" s="17">
        <v>357</v>
      </c>
      <c r="AG30" s="17">
        <v>2588</v>
      </c>
      <c r="AH30" s="17">
        <v>2447</v>
      </c>
      <c r="AI30" s="17">
        <v>363</v>
      </c>
      <c r="AJ30" s="17">
        <v>2810</v>
      </c>
      <c r="AK30" s="17">
        <v>11955</v>
      </c>
    </row>
    <row r="31" spans="1:37" x14ac:dyDescent="0.2">
      <c r="A31" s="24"/>
      <c r="B31" s="19" t="s">
        <v>4</v>
      </c>
      <c r="C31" s="20">
        <v>21629</v>
      </c>
      <c r="D31" s="20">
        <v>1198</v>
      </c>
      <c r="E31" s="56">
        <v>22827</v>
      </c>
      <c r="F31" s="20">
        <v>21844</v>
      </c>
      <c r="G31" s="20">
        <v>1145</v>
      </c>
      <c r="H31" s="56">
        <v>22989</v>
      </c>
      <c r="I31" s="20">
        <v>21471</v>
      </c>
      <c r="J31" s="20">
        <v>1275</v>
      </c>
      <c r="K31" s="56">
        <v>22746</v>
      </c>
      <c r="L31" s="20">
        <v>20863</v>
      </c>
      <c r="M31" s="20">
        <v>2129</v>
      </c>
      <c r="N31" s="56">
        <v>22992</v>
      </c>
      <c r="O31" s="20">
        <v>20144</v>
      </c>
      <c r="P31" s="20">
        <v>2998</v>
      </c>
      <c r="Q31" s="56">
        <v>23142</v>
      </c>
      <c r="R31" s="20">
        <v>114696</v>
      </c>
      <c r="T31" t="s">
        <v>14</v>
      </c>
      <c r="U31" t="s">
        <v>5</v>
      </c>
      <c r="V31" s="17">
        <v>5178</v>
      </c>
      <c r="W31" s="17">
        <v>1754</v>
      </c>
      <c r="X31" s="17">
        <v>6932</v>
      </c>
      <c r="Y31" s="17">
        <v>5567</v>
      </c>
      <c r="Z31" s="17">
        <v>1548</v>
      </c>
      <c r="AA31" s="17">
        <v>7115</v>
      </c>
      <c r="AB31" s="17">
        <v>5373</v>
      </c>
      <c r="AC31" s="17">
        <v>1436</v>
      </c>
      <c r="AD31" s="17">
        <v>6809</v>
      </c>
      <c r="AE31" s="17">
        <v>5707</v>
      </c>
      <c r="AF31" s="17">
        <v>1430</v>
      </c>
      <c r="AG31" s="17">
        <v>7137</v>
      </c>
      <c r="AH31" s="17">
        <v>6037</v>
      </c>
      <c r="AI31" s="17">
        <v>1345</v>
      </c>
      <c r="AJ31" s="17">
        <v>7382</v>
      </c>
      <c r="AK31" s="17">
        <v>35375</v>
      </c>
    </row>
    <row r="32" spans="1:37" x14ac:dyDescent="0.2">
      <c r="A32" s="24" t="s">
        <v>154</v>
      </c>
      <c r="B32" s="24"/>
      <c r="C32" s="80">
        <v>26807</v>
      </c>
      <c r="D32" s="80">
        <v>2952</v>
      </c>
      <c r="E32" s="81">
        <v>29759</v>
      </c>
      <c r="F32" s="80">
        <v>27411</v>
      </c>
      <c r="G32" s="80">
        <v>2693</v>
      </c>
      <c r="H32" s="81">
        <v>30104</v>
      </c>
      <c r="I32" s="80">
        <v>26844</v>
      </c>
      <c r="J32" s="80">
        <v>2711</v>
      </c>
      <c r="K32" s="81">
        <v>29555</v>
      </c>
      <c r="L32" s="80">
        <v>26570</v>
      </c>
      <c r="M32" s="80">
        <v>3559</v>
      </c>
      <c r="N32" s="81">
        <v>30129</v>
      </c>
      <c r="O32" s="80">
        <v>26181</v>
      </c>
      <c r="P32" s="80">
        <v>4343</v>
      </c>
      <c r="Q32" s="81">
        <v>30524</v>
      </c>
      <c r="R32" s="80">
        <v>150071</v>
      </c>
      <c r="U32" t="s">
        <v>4</v>
      </c>
      <c r="V32" s="17">
        <v>21629</v>
      </c>
      <c r="W32" s="17">
        <v>1198</v>
      </c>
      <c r="X32" s="17">
        <v>22827</v>
      </c>
      <c r="Y32" s="17">
        <v>21844</v>
      </c>
      <c r="Z32" s="17">
        <v>1145</v>
      </c>
      <c r="AA32" s="17">
        <v>22989</v>
      </c>
      <c r="AB32" s="17">
        <v>21471</v>
      </c>
      <c r="AC32" s="17">
        <v>1275</v>
      </c>
      <c r="AD32" s="17">
        <v>22746</v>
      </c>
      <c r="AE32" s="17">
        <v>20863</v>
      </c>
      <c r="AF32" s="17">
        <v>2129</v>
      </c>
      <c r="AG32" s="17">
        <v>22992</v>
      </c>
      <c r="AH32" s="17">
        <v>20144</v>
      </c>
      <c r="AI32" s="17">
        <v>2998</v>
      </c>
      <c r="AJ32" s="17">
        <v>23142</v>
      </c>
      <c r="AK32" s="17">
        <v>114696</v>
      </c>
    </row>
    <row r="33" spans="1:37" x14ac:dyDescent="0.2">
      <c r="A33" s="24" t="s">
        <v>15</v>
      </c>
      <c r="B33" s="19" t="s">
        <v>5</v>
      </c>
      <c r="C33" s="20">
        <v>1147</v>
      </c>
      <c r="D33" s="20">
        <v>95</v>
      </c>
      <c r="E33" s="56">
        <v>1242</v>
      </c>
      <c r="F33" s="20">
        <v>1000</v>
      </c>
      <c r="G33" s="20">
        <v>275</v>
      </c>
      <c r="H33" s="56">
        <v>1275</v>
      </c>
      <c r="I33" s="20">
        <v>940</v>
      </c>
      <c r="J33" s="20">
        <v>261</v>
      </c>
      <c r="K33" s="56">
        <v>1201</v>
      </c>
      <c r="L33" s="20">
        <v>711</v>
      </c>
      <c r="M33" s="20">
        <v>117</v>
      </c>
      <c r="N33" s="56">
        <v>828</v>
      </c>
      <c r="O33" s="20">
        <v>787</v>
      </c>
      <c r="P33" s="20">
        <v>130</v>
      </c>
      <c r="Q33" s="56">
        <v>917</v>
      </c>
      <c r="R33" s="20">
        <v>5463</v>
      </c>
      <c r="T33" t="s">
        <v>154</v>
      </c>
      <c r="V33" s="17">
        <v>26807</v>
      </c>
      <c r="W33" s="17">
        <v>2952</v>
      </c>
      <c r="X33" s="17">
        <v>29759</v>
      </c>
      <c r="Y33" s="17">
        <v>27411</v>
      </c>
      <c r="Z33" s="17">
        <v>2693</v>
      </c>
      <c r="AA33" s="17">
        <v>30104</v>
      </c>
      <c r="AB33" s="17">
        <v>26844</v>
      </c>
      <c r="AC33" s="17">
        <v>2711</v>
      </c>
      <c r="AD33" s="17">
        <v>29555</v>
      </c>
      <c r="AE33" s="17">
        <v>26570</v>
      </c>
      <c r="AF33" s="17">
        <v>3559</v>
      </c>
      <c r="AG33" s="17">
        <v>30129</v>
      </c>
      <c r="AH33" s="17">
        <v>26181</v>
      </c>
      <c r="AI33" s="17">
        <v>4343</v>
      </c>
      <c r="AJ33" s="17">
        <v>30524</v>
      </c>
      <c r="AK33" s="17">
        <v>150071</v>
      </c>
    </row>
    <row r="34" spans="1:37" x14ac:dyDescent="0.2">
      <c r="A34" s="24"/>
      <c r="B34" s="19" t="s">
        <v>4</v>
      </c>
      <c r="C34" s="20">
        <v>696</v>
      </c>
      <c r="D34" s="20">
        <v>17</v>
      </c>
      <c r="E34" s="56">
        <v>713</v>
      </c>
      <c r="F34" s="20">
        <v>725</v>
      </c>
      <c r="G34" s="20">
        <v>26</v>
      </c>
      <c r="H34" s="56">
        <v>751</v>
      </c>
      <c r="I34" s="20">
        <v>694</v>
      </c>
      <c r="J34" s="20">
        <v>22</v>
      </c>
      <c r="K34" s="56">
        <v>716</v>
      </c>
      <c r="L34" s="20">
        <v>533</v>
      </c>
      <c r="M34" s="20">
        <v>17</v>
      </c>
      <c r="N34" s="56">
        <v>550</v>
      </c>
      <c r="O34" s="20">
        <v>584</v>
      </c>
      <c r="P34" s="20">
        <v>18</v>
      </c>
      <c r="Q34" s="56">
        <v>602</v>
      </c>
      <c r="R34" s="20">
        <v>3332</v>
      </c>
      <c r="T34" t="s">
        <v>15</v>
      </c>
      <c r="U34" t="s">
        <v>5</v>
      </c>
      <c r="V34" s="17">
        <v>1147</v>
      </c>
      <c r="W34" s="17">
        <v>95</v>
      </c>
      <c r="X34" s="17">
        <v>1242</v>
      </c>
      <c r="Y34" s="17">
        <v>1000</v>
      </c>
      <c r="Z34" s="17">
        <v>275</v>
      </c>
      <c r="AA34" s="17">
        <v>1275</v>
      </c>
      <c r="AB34" s="17">
        <v>940</v>
      </c>
      <c r="AC34" s="17">
        <v>261</v>
      </c>
      <c r="AD34" s="17">
        <v>1201</v>
      </c>
      <c r="AE34" s="17">
        <v>711</v>
      </c>
      <c r="AF34" s="17">
        <v>117</v>
      </c>
      <c r="AG34" s="17">
        <v>828</v>
      </c>
      <c r="AH34" s="17">
        <v>787</v>
      </c>
      <c r="AI34" s="17">
        <v>130</v>
      </c>
      <c r="AJ34" s="17">
        <v>917</v>
      </c>
      <c r="AK34" s="17">
        <v>5463</v>
      </c>
    </row>
    <row r="35" spans="1:37" x14ac:dyDescent="0.2">
      <c r="A35" s="24" t="s">
        <v>155</v>
      </c>
      <c r="B35" s="24"/>
      <c r="C35" s="80">
        <v>1843</v>
      </c>
      <c r="D35" s="80">
        <v>112</v>
      </c>
      <c r="E35" s="81">
        <v>1955</v>
      </c>
      <c r="F35" s="80">
        <v>1725</v>
      </c>
      <c r="G35" s="80">
        <v>301</v>
      </c>
      <c r="H35" s="81">
        <v>2026</v>
      </c>
      <c r="I35" s="80">
        <v>1634</v>
      </c>
      <c r="J35" s="80">
        <v>283</v>
      </c>
      <c r="K35" s="81">
        <v>1917</v>
      </c>
      <c r="L35" s="80">
        <v>1244</v>
      </c>
      <c r="M35" s="80">
        <v>134</v>
      </c>
      <c r="N35" s="81">
        <v>1378</v>
      </c>
      <c r="O35" s="80">
        <v>1371</v>
      </c>
      <c r="P35" s="80">
        <v>148</v>
      </c>
      <c r="Q35" s="81">
        <v>1519</v>
      </c>
      <c r="R35" s="80">
        <v>8795</v>
      </c>
      <c r="U35" t="s">
        <v>4</v>
      </c>
      <c r="V35" s="17">
        <v>696</v>
      </c>
      <c r="W35" s="17">
        <v>17</v>
      </c>
      <c r="X35" s="17">
        <v>713</v>
      </c>
      <c r="Y35" s="17">
        <v>725</v>
      </c>
      <c r="Z35" s="17">
        <v>26</v>
      </c>
      <c r="AA35" s="17">
        <v>751</v>
      </c>
      <c r="AB35" s="17">
        <v>694</v>
      </c>
      <c r="AC35" s="17">
        <v>22</v>
      </c>
      <c r="AD35" s="17">
        <v>716</v>
      </c>
      <c r="AE35" s="17">
        <v>533</v>
      </c>
      <c r="AF35" s="17">
        <v>17</v>
      </c>
      <c r="AG35" s="17">
        <v>550</v>
      </c>
      <c r="AH35" s="17">
        <v>584</v>
      </c>
      <c r="AI35" s="17">
        <v>18</v>
      </c>
      <c r="AJ35" s="17">
        <v>602</v>
      </c>
      <c r="AK35" s="17">
        <v>3332</v>
      </c>
    </row>
    <row r="36" spans="1:37" x14ac:dyDescent="0.2">
      <c r="T36" t="s">
        <v>155</v>
      </c>
      <c r="V36" s="17">
        <v>1843</v>
      </c>
      <c r="W36" s="17">
        <v>112</v>
      </c>
      <c r="X36" s="17">
        <v>1955</v>
      </c>
      <c r="Y36" s="17">
        <v>1725</v>
      </c>
      <c r="Z36" s="17">
        <v>301</v>
      </c>
      <c r="AA36" s="17">
        <v>2026</v>
      </c>
      <c r="AB36" s="17">
        <v>1634</v>
      </c>
      <c r="AC36" s="17">
        <v>283</v>
      </c>
      <c r="AD36" s="17">
        <v>1917</v>
      </c>
      <c r="AE36" s="17">
        <v>1244</v>
      </c>
      <c r="AF36" s="17">
        <v>134</v>
      </c>
      <c r="AG36" s="17">
        <v>1378</v>
      </c>
      <c r="AH36" s="17">
        <v>1371</v>
      </c>
      <c r="AI36" s="17">
        <v>148</v>
      </c>
      <c r="AJ36" s="17">
        <v>1519</v>
      </c>
      <c r="AK36" s="17">
        <v>8795</v>
      </c>
    </row>
    <row r="37" spans="1:37" x14ac:dyDescent="0.2">
      <c r="T37" t="s">
        <v>113</v>
      </c>
      <c r="V37" s="17">
        <v>280407</v>
      </c>
      <c r="W37" s="17">
        <v>101978</v>
      </c>
      <c r="X37" s="17">
        <v>382385</v>
      </c>
      <c r="Y37" s="17">
        <v>270542</v>
      </c>
      <c r="Z37" s="17">
        <v>104245</v>
      </c>
      <c r="AA37" s="17">
        <v>374787</v>
      </c>
      <c r="AB37" s="17">
        <v>272465</v>
      </c>
      <c r="AC37" s="17">
        <v>102942</v>
      </c>
      <c r="AD37" s="17">
        <v>375407</v>
      </c>
      <c r="AE37" s="17">
        <v>270370</v>
      </c>
      <c r="AF37" s="17">
        <v>109427</v>
      </c>
      <c r="AG37" s="17">
        <v>379797</v>
      </c>
      <c r="AH37" s="17">
        <v>267210</v>
      </c>
      <c r="AI37" s="17">
        <v>112250</v>
      </c>
      <c r="AJ37" s="17">
        <v>379460</v>
      </c>
      <c r="AK37" s="17">
        <v>1891836</v>
      </c>
    </row>
    <row r="41" spans="1:37" x14ac:dyDescent="0.2">
      <c r="A41" s="79" t="s">
        <v>2</v>
      </c>
      <c r="B41" s="77" t="s">
        <v>156</v>
      </c>
      <c r="C41" s="77">
        <v>2014</v>
      </c>
      <c r="D41" s="58">
        <v>2015</v>
      </c>
      <c r="E41" s="58">
        <v>2016</v>
      </c>
      <c r="F41" s="77">
        <v>2017</v>
      </c>
      <c r="G41" s="77">
        <v>2018</v>
      </c>
    </row>
    <row r="42" spans="1:37" x14ac:dyDescent="0.2">
      <c r="A42" s="149" t="s">
        <v>6</v>
      </c>
      <c r="B42" s="78" t="s">
        <v>157</v>
      </c>
      <c r="C42" s="23">
        <f>D8/E8</f>
        <v>0.39744030826395099</v>
      </c>
      <c r="D42" s="23">
        <f>G8/H8</f>
        <v>0.41368431430543234</v>
      </c>
      <c r="E42" s="23">
        <f>J8/K8</f>
        <v>0.42304110682453105</v>
      </c>
      <c r="F42" s="23">
        <f>M8/N8</f>
        <v>0.43563893461020498</v>
      </c>
      <c r="G42" s="23">
        <f>P8/Q8</f>
        <v>0.44202150220369929</v>
      </c>
    </row>
    <row r="43" spans="1:37" x14ac:dyDescent="0.2">
      <c r="A43" s="150"/>
      <c r="B43" s="78" t="s">
        <v>158</v>
      </c>
      <c r="C43" s="23">
        <f>D6/E6</f>
        <v>0.45884478864149725</v>
      </c>
      <c r="D43" s="23">
        <f>G6/H6</f>
        <v>0.47177140219983077</v>
      </c>
      <c r="E43" s="23">
        <f>J6/K6</f>
        <v>0.47831855145812346</v>
      </c>
      <c r="F43" s="23">
        <f>M6/N6</f>
        <v>0.47508708898248508</v>
      </c>
      <c r="G43" s="23">
        <f>P6/Q6</f>
        <v>0.46835639869382678</v>
      </c>
    </row>
    <row r="44" spans="1:37" x14ac:dyDescent="0.2">
      <c r="A44" s="151"/>
      <c r="B44" s="78" t="s">
        <v>159</v>
      </c>
      <c r="C44" s="23">
        <f>D7/E7</f>
        <v>0.20131101583113456</v>
      </c>
      <c r="D44" s="23">
        <f>G7/H7</f>
        <v>0.22024419398907105</v>
      </c>
      <c r="E44" s="23">
        <f>J7/K7</f>
        <v>0.2342228935884525</v>
      </c>
      <c r="F44" s="23">
        <f>M7/N7</f>
        <v>0.30320687828531845</v>
      </c>
      <c r="G44" s="23">
        <f>P7/Q7</f>
        <v>0.35342642147197295</v>
      </c>
    </row>
    <row r="45" spans="1:37" x14ac:dyDescent="0.2">
      <c r="A45" s="149" t="s">
        <v>7</v>
      </c>
      <c r="B45" s="78" t="s">
        <v>157</v>
      </c>
      <c r="C45" s="23">
        <f>D11/E11</f>
        <v>0.33230054221533695</v>
      </c>
      <c r="D45" s="23">
        <f>G11/H11</f>
        <v>0.33551176846346614</v>
      </c>
      <c r="E45" s="23">
        <f>J11/K11</f>
        <v>0.22625118035882907</v>
      </c>
      <c r="F45" s="23">
        <f>M11/N11</f>
        <v>0.22470027072321774</v>
      </c>
      <c r="G45" s="23">
        <f>P11/Q11</f>
        <v>0.14162607718246534</v>
      </c>
    </row>
    <row r="46" spans="1:37" x14ac:dyDescent="0.2">
      <c r="A46" s="150"/>
      <c r="B46" s="78" t="s">
        <v>158</v>
      </c>
      <c r="C46" s="23">
        <f>D9/E9</f>
        <v>0.3691790381931227</v>
      </c>
      <c r="D46" s="23">
        <f>G9/H9</f>
        <v>0.37205721983449869</v>
      </c>
      <c r="E46" s="23">
        <f>J9/K9</f>
        <v>0.24261406924574622</v>
      </c>
      <c r="F46" s="23">
        <f>M9/N9</f>
        <v>0.23897952099965289</v>
      </c>
      <c r="G46" s="23">
        <f>P9/Q9</f>
        <v>0.16922704729647997</v>
      </c>
    </row>
    <row r="47" spans="1:37" x14ac:dyDescent="0.2">
      <c r="A47" s="151"/>
      <c r="B47" s="78" t="s">
        <v>159</v>
      </c>
      <c r="C47" s="23">
        <f>D10/E10</f>
        <v>0.21352676747037189</v>
      </c>
      <c r="D47" s="23">
        <f>G10/H10</f>
        <v>0.21587568248635028</v>
      </c>
      <c r="E47" s="23">
        <f>J10/K10</f>
        <v>0.1787819253438114</v>
      </c>
      <c r="F47" s="23">
        <f>M10/N10</f>
        <v>0.18345864661654135</v>
      </c>
      <c r="G47" s="23">
        <f>P10/Q10</f>
        <v>4.6907430469074307E-2</v>
      </c>
    </row>
    <row r="48" spans="1:37" x14ac:dyDescent="0.2">
      <c r="A48" s="149" t="s">
        <v>8</v>
      </c>
      <c r="B48" s="78" t="s">
        <v>157</v>
      </c>
      <c r="C48" s="23">
        <f>D14/E14</f>
        <v>9.68840010473946E-2</v>
      </c>
      <c r="D48" s="23">
        <f>G14/H14</f>
        <v>0.12375533428165007</v>
      </c>
      <c r="E48" s="23">
        <f>J14/K14</f>
        <v>0.1531671239413098</v>
      </c>
      <c r="F48" s="23">
        <f>M14/N14</f>
        <v>0.21671753932848087</v>
      </c>
      <c r="G48" s="23">
        <f>P14/Q14</f>
        <v>0.24160601080065744</v>
      </c>
    </row>
    <row r="49" spans="1:7" x14ac:dyDescent="0.2">
      <c r="A49" s="150"/>
      <c r="B49" s="78" t="s">
        <v>158</v>
      </c>
      <c r="C49" s="23">
        <f>D12/E12</f>
        <v>0.15390173410404626</v>
      </c>
      <c r="D49" s="23">
        <f>G12/H12</f>
        <v>0.18478491205763933</v>
      </c>
      <c r="E49" s="23">
        <f>J12/K12</f>
        <v>0.2210375230674595</v>
      </c>
      <c r="F49" s="23">
        <f>M12/N12</f>
        <v>0.27140924028610092</v>
      </c>
      <c r="G49" s="23">
        <f>P12/Q12</f>
        <v>0.27024891347293561</v>
      </c>
    </row>
    <row r="50" spans="1:7" x14ac:dyDescent="0.2">
      <c r="A50" s="151"/>
      <c r="B50" s="78" t="s">
        <v>159</v>
      </c>
      <c r="C50" s="23">
        <f>D13/E13</f>
        <v>2.8973034997131383E-2</v>
      </c>
      <c r="D50" s="23">
        <f>G13/H13</f>
        <v>4.6273876782351356E-2</v>
      </c>
      <c r="E50" s="23">
        <f>J13/K13</f>
        <v>5.8756417569880204E-2</v>
      </c>
      <c r="F50" s="23">
        <f>M13/N13</f>
        <v>0.13213751868460388</v>
      </c>
      <c r="G50" s="23">
        <f>P13/Q13</f>
        <v>0.19965277777777779</v>
      </c>
    </row>
    <row r="51" spans="1:7" x14ac:dyDescent="0.2">
      <c r="A51" s="149" t="s">
        <v>9</v>
      </c>
      <c r="B51" s="78" t="s">
        <v>157</v>
      </c>
      <c r="C51" s="23">
        <f>D17/E17</f>
        <v>0.30798705596822828</v>
      </c>
      <c r="D51" s="23">
        <f>G17/H17</f>
        <v>0.31637301121756572</v>
      </c>
      <c r="E51" s="23">
        <f>J17/K17</f>
        <v>0.3132259861982255</v>
      </c>
      <c r="F51" s="23">
        <f>M17/N17</f>
        <v>0.32233583020343737</v>
      </c>
      <c r="G51" s="23">
        <f>P17/Q17</f>
        <v>0.33148340532560555</v>
      </c>
    </row>
    <row r="52" spans="1:7" x14ac:dyDescent="0.2">
      <c r="A52" s="150"/>
      <c r="B52" s="78" t="s">
        <v>158</v>
      </c>
      <c r="C52" s="23">
        <f>D15/E15</f>
        <v>0.36206708724114367</v>
      </c>
      <c r="D52" s="23">
        <f>G15/H15</f>
        <v>0.36909692249498077</v>
      </c>
      <c r="E52" s="23">
        <f>J15/K15</f>
        <v>0.36507951760918655</v>
      </c>
      <c r="F52" s="23">
        <f>M15/N15</f>
        <v>0.37151049453981111</v>
      </c>
      <c r="G52" s="23">
        <f>P15/Q15</f>
        <v>0.37733522298503619</v>
      </c>
    </row>
    <row r="53" spans="1:7" x14ac:dyDescent="0.2">
      <c r="A53" s="151"/>
      <c r="B53" s="78" t="s">
        <v>159</v>
      </c>
      <c r="C53" s="23">
        <f>D16/E16</f>
        <v>0.1519558819327371</v>
      </c>
      <c r="D53" s="23">
        <f>G16/H16</f>
        <v>0.16098788017379373</v>
      </c>
      <c r="E53" s="23">
        <f>J16/K16</f>
        <v>0.1629868864326085</v>
      </c>
      <c r="F53" s="23">
        <f>M16/N16</f>
        <v>0.17893313464138863</v>
      </c>
      <c r="G53" s="23">
        <f>P16/Q16</f>
        <v>0.19915006640106242</v>
      </c>
    </row>
    <row r="54" spans="1:7" x14ac:dyDescent="0.2">
      <c r="A54" s="149" t="s">
        <v>10</v>
      </c>
      <c r="B54" s="78" t="s">
        <v>157</v>
      </c>
      <c r="C54" s="23">
        <f>D20/E20</f>
        <v>0.12188816884450583</v>
      </c>
      <c r="D54" s="23">
        <f>G20/H20</f>
        <v>0.12098751021361037</v>
      </c>
      <c r="E54" s="23">
        <f>J20/K20</f>
        <v>0.11180199215212798</v>
      </c>
      <c r="F54" s="23">
        <f>M20/N20</f>
        <v>0.11757441027541064</v>
      </c>
      <c r="G54" s="23">
        <f>P20/Q20</f>
        <v>6.6628421570234395E-2</v>
      </c>
    </row>
    <row r="55" spans="1:7" x14ac:dyDescent="0.2">
      <c r="A55" s="150"/>
      <c r="B55" s="78" t="s">
        <v>158</v>
      </c>
      <c r="C55" s="23">
        <f>D18/E18</f>
        <v>0.17985936391200569</v>
      </c>
      <c r="D55" s="23">
        <f>G18/H18</f>
        <v>0.18774200685916584</v>
      </c>
      <c r="E55" s="23">
        <f>J18/K18</f>
        <v>0.17301785917415538</v>
      </c>
      <c r="F55" s="23">
        <f>M18/N18</f>
        <v>0.17841284299214391</v>
      </c>
      <c r="G55" s="23">
        <f>P18/Q18</f>
        <v>0.10857409133271202</v>
      </c>
    </row>
    <row r="56" spans="1:7" x14ac:dyDescent="0.2">
      <c r="A56" s="151"/>
      <c r="B56" s="78" t="s">
        <v>159</v>
      </c>
      <c r="C56" s="23">
        <f>D19/E19</f>
        <v>5.134243994347621E-2</v>
      </c>
      <c r="D56" s="23">
        <f>G19/H19</f>
        <v>4.6448424953675106E-2</v>
      </c>
      <c r="E56" s="23">
        <f>J19/K19</f>
        <v>4.2577823514278364E-2</v>
      </c>
      <c r="F56" s="23">
        <f>M19/N19</f>
        <v>4.5472945621373634E-2</v>
      </c>
      <c r="G56" s="23">
        <f>P19/Q19</f>
        <v>1.9777931991672451E-2</v>
      </c>
    </row>
    <row r="57" spans="1:7" x14ac:dyDescent="0.2">
      <c r="A57" s="149" t="s">
        <v>11</v>
      </c>
      <c r="B57" s="78" t="s">
        <v>157</v>
      </c>
      <c r="C57" s="23">
        <f>D23/E23</f>
        <v>8.8493789516165197E-2</v>
      </c>
      <c r="D57" s="23">
        <f>G23/H23</f>
        <v>8.8140215072680494E-2</v>
      </c>
      <c r="E57" s="23">
        <f>J23/K23</f>
        <v>6.8527974403366138E-2</v>
      </c>
      <c r="F57" s="23">
        <f>M23/N23</f>
        <v>9.2171909306319424E-2</v>
      </c>
      <c r="G57" s="23">
        <f>P23/Q23</f>
        <v>0.10570971409322498</v>
      </c>
    </row>
    <row r="58" spans="1:7" x14ac:dyDescent="0.2">
      <c r="A58" s="150"/>
      <c r="B58" s="78" t="s">
        <v>158</v>
      </c>
      <c r="C58" s="23">
        <f>D21/E21</f>
        <v>0.20196875178847365</v>
      </c>
      <c r="D58" s="23">
        <f>G21/H21</f>
        <v>0.20061469684269348</v>
      </c>
      <c r="E58" s="23">
        <f>J21/K21</f>
        <v>0.15538112873804655</v>
      </c>
      <c r="F58" s="23">
        <f>M21/N21</f>
        <v>0.19147773832286261</v>
      </c>
      <c r="G58" s="23">
        <f>P21/Q21</f>
        <v>0.18835309617918314</v>
      </c>
    </row>
    <row r="59" spans="1:7" x14ac:dyDescent="0.2">
      <c r="A59" s="151"/>
      <c r="B59" s="78" t="s">
        <v>159</v>
      </c>
      <c r="C59" s="23">
        <f>D22/E22</f>
        <v>1.5407866121124995E-2</v>
      </c>
      <c r="D59" s="23">
        <f>G22/H22</f>
        <v>1.5157009210240047E-2</v>
      </c>
      <c r="E59" s="23">
        <f>J22/K22</f>
        <v>1.1474219317356572E-2</v>
      </c>
      <c r="F59" s="23">
        <f>M22/N22</f>
        <v>2.6538128249566726E-2</v>
      </c>
      <c r="G59" s="23">
        <f>P22/Q22</f>
        <v>5.0730989026399748E-2</v>
      </c>
    </row>
    <row r="60" spans="1:7" x14ac:dyDescent="0.2">
      <c r="A60" s="149" t="s">
        <v>12</v>
      </c>
      <c r="B60" s="78" t="s">
        <v>157</v>
      </c>
      <c r="C60" s="23">
        <f>D26/E26</f>
        <v>0.13569381907490791</v>
      </c>
      <c r="D60" s="23">
        <f>G26/H26</f>
        <v>0.14013661767749949</v>
      </c>
      <c r="E60" s="23">
        <f>J26/K26</f>
        <v>0.13870541611624834</v>
      </c>
      <c r="F60" s="23">
        <f>M26/N26</f>
        <v>0.14817600601729974</v>
      </c>
      <c r="G60" s="23">
        <f>P26/Q26</f>
        <v>0.14186535123778204</v>
      </c>
    </row>
    <row r="61" spans="1:7" x14ac:dyDescent="0.2">
      <c r="A61" s="150"/>
      <c r="B61" s="78" t="s">
        <v>158</v>
      </c>
      <c r="C61" s="23">
        <f>D24/E24</f>
        <v>0.25350036845983787</v>
      </c>
      <c r="D61" s="23">
        <f>G24/H24</f>
        <v>0.26648487853247399</v>
      </c>
      <c r="E61" s="23">
        <f>J24/K24</f>
        <v>0.25357729298616</v>
      </c>
      <c r="F61" s="23">
        <f>M24/N24</f>
        <v>0.26117695986691619</v>
      </c>
      <c r="G61" s="23">
        <f>P24/Q24</f>
        <v>0.24698914116485687</v>
      </c>
    </row>
    <row r="62" spans="1:7" x14ac:dyDescent="0.2">
      <c r="A62" s="151"/>
      <c r="B62" s="78" t="s">
        <v>159</v>
      </c>
      <c r="C62" s="23">
        <f>D25/E25</f>
        <v>5.1569900017540783E-2</v>
      </c>
      <c r="D62" s="23">
        <f>G25/H25</f>
        <v>4.9573560767590619E-2</v>
      </c>
      <c r="E62" s="23">
        <f>J25/K25</f>
        <v>5.0914306202940122E-2</v>
      </c>
      <c r="F62" s="23">
        <f>M25/N25</f>
        <v>5.4916766775356098E-2</v>
      </c>
      <c r="G62" s="23">
        <f>P25/Q25</f>
        <v>5.1343080584835089E-2</v>
      </c>
    </row>
    <row r="63" spans="1:7" x14ac:dyDescent="0.2">
      <c r="A63" s="149" t="s">
        <v>13</v>
      </c>
      <c r="B63" s="78" t="s">
        <v>157</v>
      </c>
      <c r="C63" s="23">
        <f>D29/E29</f>
        <v>0.1386330586524479</v>
      </c>
      <c r="D63" s="23">
        <f>G29/H29</f>
        <v>0.14251439539347407</v>
      </c>
      <c r="E63" s="23">
        <f>J29/K29</f>
        <v>0.14937759336099585</v>
      </c>
      <c r="F63" s="23">
        <f>M29/N29</f>
        <v>0.13794435857805254</v>
      </c>
      <c r="G63" s="23">
        <f>P29/Q29</f>
        <v>0.12918149466192172</v>
      </c>
    </row>
    <row r="64" spans="1:7" x14ac:dyDescent="0.2">
      <c r="A64" s="150"/>
      <c r="B64" s="78" t="s">
        <v>158</v>
      </c>
      <c r="C64" s="23">
        <f>D27/E27</f>
        <v>0.18326359832635983</v>
      </c>
      <c r="D64" s="23">
        <f>G27/H27</f>
        <v>0.19071310116086235</v>
      </c>
      <c r="E64" s="23">
        <f>J27/K27</f>
        <v>0.19485038274182323</v>
      </c>
      <c r="F64" s="23">
        <f>M27/N27</f>
        <v>0.19085487077534791</v>
      </c>
      <c r="G64" s="23">
        <f>P27/Q27</f>
        <v>0.17401668653158522</v>
      </c>
    </row>
    <row r="65" spans="1:7" x14ac:dyDescent="0.2">
      <c r="A65" s="151"/>
      <c r="B65" s="78" t="s">
        <v>159</v>
      </c>
      <c r="C65" s="23">
        <f>D28/E28</f>
        <v>7.7188940092165897E-2</v>
      </c>
      <c r="D65" s="23">
        <f>G28/H28</f>
        <v>7.6309794988610472E-2</v>
      </c>
      <c r="E65" s="23">
        <f>J28/K28</f>
        <v>8.2219938335046247E-2</v>
      </c>
      <c r="F65" s="23">
        <f>M28/N28</f>
        <v>6.39481000926784E-2</v>
      </c>
      <c r="G65" s="23">
        <f>P28/Q28</f>
        <v>6.2720848056537104E-2</v>
      </c>
    </row>
    <row r="66" spans="1:7" x14ac:dyDescent="0.2">
      <c r="A66" s="149" t="s">
        <v>14</v>
      </c>
      <c r="B66" s="78" t="s">
        <v>157</v>
      </c>
      <c r="C66" s="23">
        <f>D32/E32</f>
        <v>9.9196881615645688E-2</v>
      </c>
      <c r="D66" s="23">
        <f>G32/H32</f>
        <v>8.9456550624501724E-2</v>
      </c>
      <c r="E66" s="23">
        <f>J32/K32</f>
        <v>9.1727288106919297E-2</v>
      </c>
      <c r="F66" s="23">
        <f>M32/N32</f>
        <v>0.11812539413853762</v>
      </c>
      <c r="G66" s="23">
        <f>P32/Q32</f>
        <v>0.14228148342288036</v>
      </c>
    </row>
    <row r="67" spans="1:7" x14ac:dyDescent="0.2">
      <c r="A67" s="150"/>
      <c r="B67" s="78" t="s">
        <v>158</v>
      </c>
      <c r="C67" s="23">
        <f>D30/E30</f>
        <v>0.25302942873629541</v>
      </c>
      <c r="D67" s="23">
        <f>G30/H30</f>
        <v>0.21756851721714687</v>
      </c>
      <c r="E67" s="23">
        <f>J30/K30</f>
        <v>0.21089734175356145</v>
      </c>
      <c r="F67" s="23">
        <f>M30/N30</f>
        <v>0.20036429872495445</v>
      </c>
      <c r="G67" s="23">
        <f>P30/Q30</f>
        <v>0.18219994581414251</v>
      </c>
    </row>
    <row r="68" spans="1:7" x14ac:dyDescent="0.2">
      <c r="A68" s="151"/>
      <c r="B68" s="78" t="s">
        <v>159</v>
      </c>
      <c r="C68" s="23">
        <f>D31/E31</f>
        <v>5.2481710255399307E-2</v>
      </c>
      <c r="D68" s="23">
        <f>G31/H31</f>
        <v>4.9806429161773025E-2</v>
      </c>
      <c r="E68" s="23">
        <f>J31/K31</f>
        <v>5.6053811659192827E-2</v>
      </c>
      <c r="F68" s="23">
        <f>M31/N31</f>
        <v>9.2597425191370916E-2</v>
      </c>
      <c r="G68" s="23">
        <f>P31/Q31</f>
        <v>0.12954800795091176</v>
      </c>
    </row>
    <row r="69" spans="1:7" x14ac:dyDescent="0.2">
      <c r="A69" s="149" t="s">
        <v>15</v>
      </c>
      <c r="B69" s="78" t="s">
        <v>157</v>
      </c>
      <c r="C69" s="23">
        <f>D35/E35</f>
        <v>5.7289002557544759E-2</v>
      </c>
      <c r="D69" s="23">
        <f>G35/H35</f>
        <v>0.14856860809476802</v>
      </c>
      <c r="E69" s="23">
        <f>J35/K35</f>
        <v>0.1476264997391758</v>
      </c>
      <c r="F69" s="23">
        <f>M35/N35</f>
        <v>9.7242380261248179E-2</v>
      </c>
      <c r="G69" s="23">
        <f>P35/Q35</f>
        <v>9.7432521395655031E-2</v>
      </c>
    </row>
    <row r="70" spans="1:7" x14ac:dyDescent="0.2">
      <c r="A70" s="150"/>
      <c r="B70" s="78" t="s">
        <v>158</v>
      </c>
      <c r="C70" s="23">
        <f>D33/E33</f>
        <v>7.6489533011272148E-2</v>
      </c>
      <c r="D70" s="23">
        <f>G33/H33</f>
        <v>0.21568627450980393</v>
      </c>
      <c r="E70" s="23">
        <f>J33/K33</f>
        <v>0.21731890091590342</v>
      </c>
      <c r="F70" s="23">
        <f>M33/N33</f>
        <v>0.14130434782608695</v>
      </c>
      <c r="G70" s="23">
        <f>P33/Q33</f>
        <v>0.14176663031624864</v>
      </c>
    </row>
    <row r="71" spans="1:7" x14ac:dyDescent="0.2">
      <c r="A71" s="151"/>
      <c r="B71" s="78" t="s">
        <v>159</v>
      </c>
      <c r="C71" s="23">
        <f>D34/E34</f>
        <v>2.3842917251051893E-2</v>
      </c>
      <c r="D71" s="23">
        <f>G34/H34</f>
        <v>3.462050599201065E-2</v>
      </c>
      <c r="E71" s="23">
        <f>J34/K34</f>
        <v>3.0726256983240222E-2</v>
      </c>
      <c r="F71" s="23">
        <f>M34/N34</f>
        <v>3.090909090909091E-2</v>
      </c>
      <c r="G71" s="23">
        <f>P34/Q34</f>
        <v>2.9900332225913623E-2</v>
      </c>
    </row>
  </sheetData>
  <mergeCells count="10">
    <mergeCell ref="A60:A62"/>
    <mergeCell ref="A63:A65"/>
    <mergeCell ref="A66:A68"/>
    <mergeCell ref="A69:A71"/>
    <mergeCell ref="A42:A44"/>
    <mergeCell ref="A45:A47"/>
    <mergeCell ref="A48:A50"/>
    <mergeCell ref="A51:A53"/>
    <mergeCell ref="A54:A56"/>
    <mergeCell ref="A57:A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9457-CB8C-4D4F-B140-13C3453F133D}">
  <dimension ref="A2:Q33"/>
  <sheetViews>
    <sheetView showGridLines="0" zoomScale="83" workbookViewId="0">
      <selection activeCell="Q34" sqref="Q34"/>
    </sheetView>
  </sheetViews>
  <sheetFormatPr baseColWidth="10" defaultRowHeight="15" x14ac:dyDescent="0.2"/>
  <cols>
    <col min="1" max="1" width="25.5" bestFit="1" customWidth="1"/>
    <col min="2" max="2" width="11.5" bestFit="1" customWidth="1"/>
    <col min="3" max="7" width="7" bestFit="1" customWidth="1"/>
    <col min="17" max="17" width="27" bestFit="1" customWidth="1"/>
  </cols>
  <sheetData>
    <row r="2" spans="1:17" x14ac:dyDescent="0.2">
      <c r="I2" s="155" t="s">
        <v>161</v>
      </c>
      <c r="J2" s="155"/>
      <c r="K2" s="155"/>
      <c r="L2" s="155"/>
      <c r="M2" s="155"/>
      <c r="N2" s="155"/>
      <c r="O2" s="155"/>
    </row>
    <row r="3" spans="1:17" x14ac:dyDescent="0.2">
      <c r="A3" s="82" t="s">
        <v>2</v>
      </c>
      <c r="B3" s="83" t="s">
        <v>156</v>
      </c>
      <c r="C3" s="83">
        <v>2014</v>
      </c>
      <c r="D3" s="84">
        <v>2015</v>
      </c>
      <c r="E3" s="84">
        <v>2016</v>
      </c>
      <c r="F3" s="83">
        <v>2017</v>
      </c>
      <c r="G3" s="83">
        <v>2018</v>
      </c>
      <c r="H3" s="58" t="s">
        <v>160</v>
      </c>
      <c r="I3" s="58">
        <v>2019</v>
      </c>
      <c r="J3" s="58">
        <v>2020</v>
      </c>
      <c r="K3" s="58">
        <v>2021</v>
      </c>
      <c r="L3" s="58">
        <v>2022</v>
      </c>
      <c r="M3" s="58">
        <v>2023</v>
      </c>
      <c r="N3" s="58">
        <v>2024</v>
      </c>
      <c r="O3" s="58">
        <v>2025</v>
      </c>
      <c r="Q3" s="58" t="s">
        <v>162</v>
      </c>
    </row>
    <row r="4" spans="1:17" x14ac:dyDescent="0.2">
      <c r="A4" s="156" t="s">
        <v>6</v>
      </c>
      <c r="B4" s="85" t="s">
        <v>157</v>
      </c>
      <c r="C4" s="86">
        <v>0.39739999999999998</v>
      </c>
      <c r="D4" s="86">
        <v>0.41370000000000001</v>
      </c>
      <c r="E4" s="86">
        <v>0.42299999999999999</v>
      </c>
      <c r="F4" s="86">
        <v>0.43559999999999999</v>
      </c>
      <c r="G4" s="86">
        <v>0.442</v>
      </c>
      <c r="H4" s="38">
        <f>((D4-C4)+(E4-D4)+(F4-E4)+(G4-F4))/($G$3-$C$3)</f>
        <v>1.1150000000000007E-2</v>
      </c>
      <c r="I4" s="38">
        <f>G4+H4</f>
        <v>0.45315</v>
      </c>
      <c r="J4" s="38">
        <f>I4+$H4</f>
        <v>0.46429999999999999</v>
      </c>
      <c r="K4" s="38">
        <f>J4+$H4</f>
        <v>0.47544999999999998</v>
      </c>
      <c r="L4" s="38">
        <f>K4+$H4</f>
        <v>0.48659999999999998</v>
      </c>
      <c r="M4" s="38">
        <f>L4+$H4</f>
        <v>0.49774999999999997</v>
      </c>
      <c r="N4" s="38">
        <f>M4+$H4</f>
        <v>0.50890000000000002</v>
      </c>
      <c r="O4" s="38">
        <f t="shared" ref="J4:O13" si="0">N4+$H4</f>
        <v>0.52005000000000001</v>
      </c>
      <c r="Q4" s="38">
        <f>O4-G4</f>
        <v>7.8050000000000008E-2</v>
      </c>
    </row>
    <row r="5" spans="1:17" x14ac:dyDescent="0.2">
      <c r="A5" s="153"/>
      <c r="B5" s="85" t="s">
        <v>158</v>
      </c>
      <c r="C5" s="86">
        <v>0.45879999999999999</v>
      </c>
      <c r="D5" s="86">
        <v>0.4718</v>
      </c>
      <c r="E5" s="86">
        <v>0.4783</v>
      </c>
      <c r="F5" s="86">
        <v>0.47510000000000002</v>
      </c>
      <c r="G5" s="86">
        <v>0.46839999999999998</v>
      </c>
      <c r="H5" s="38">
        <f t="shared" ref="H5:H33" si="1">((D5-C5)+(E5-D5)+(F5-E5)+(G5-F5))/($G$3-$C$3)</f>
        <v>2.3999999999999994E-3</v>
      </c>
      <c r="I5" s="38">
        <f t="shared" ref="I4:I33" si="2">G5+H5</f>
        <v>0.4708</v>
      </c>
      <c r="J5" s="38">
        <f t="shared" si="0"/>
        <v>0.47320000000000001</v>
      </c>
      <c r="K5" s="38">
        <f t="shared" si="0"/>
        <v>0.47560000000000002</v>
      </c>
      <c r="L5" s="38">
        <f t="shared" si="0"/>
        <v>0.47800000000000004</v>
      </c>
      <c r="M5" s="38">
        <f t="shared" si="0"/>
        <v>0.48040000000000005</v>
      </c>
      <c r="N5" s="38">
        <f t="shared" si="0"/>
        <v>0.48280000000000006</v>
      </c>
      <c r="O5" s="38">
        <f t="shared" si="0"/>
        <v>0.48520000000000008</v>
      </c>
      <c r="Q5" s="38">
        <f t="shared" ref="Q4:Q33" si="3">O5-G5</f>
        <v>1.6800000000000093E-2</v>
      </c>
    </row>
    <row r="6" spans="1:17" x14ac:dyDescent="0.2">
      <c r="A6" s="154"/>
      <c r="B6" s="85" t="s">
        <v>159</v>
      </c>
      <c r="C6" s="86">
        <v>0.20130000000000001</v>
      </c>
      <c r="D6" s="86">
        <v>0.22020000000000001</v>
      </c>
      <c r="E6" s="86">
        <v>0.23419999999999999</v>
      </c>
      <c r="F6" s="86">
        <v>0.30320000000000003</v>
      </c>
      <c r="G6" s="86">
        <v>0.35339999999999999</v>
      </c>
      <c r="H6" s="38">
        <f t="shared" si="1"/>
        <v>3.8024999999999996E-2</v>
      </c>
      <c r="I6" s="38">
        <f t="shared" si="2"/>
        <v>0.39142499999999997</v>
      </c>
      <c r="J6" s="38">
        <f t="shared" si="0"/>
        <v>0.42944999999999994</v>
      </c>
      <c r="K6" s="38">
        <f t="shared" si="0"/>
        <v>0.46747499999999992</v>
      </c>
      <c r="L6" s="38">
        <f t="shared" si="0"/>
        <v>0.50549999999999995</v>
      </c>
      <c r="M6" s="38">
        <f t="shared" si="0"/>
        <v>0.54352499999999992</v>
      </c>
      <c r="N6" s="38">
        <f t="shared" si="0"/>
        <v>0.5815499999999999</v>
      </c>
      <c r="O6" s="38">
        <f t="shared" si="0"/>
        <v>0.61957499999999988</v>
      </c>
      <c r="Q6" s="38">
        <f t="shared" si="3"/>
        <v>0.26617499999999988</v>
      </c>
    </row>
    <row r="7" spans="1:17" x14ac:dyDescent="0.2">
      <c r="A7" s="152" t="s">
        <v>7</v>
      </c>
      <c r="B7" s="85" t="s">
        <v>157</v>
      </c>
      <c r="C7" s="86">
        <v>0.33229999999999998</v>
      </c>
      <c r="D7" s="86">
        <v>0.33550000000000002</v>
      </c>
      <c r="E7" s="86">
        <v>0.2263</v>
      </c>
      <c r="F7" s="86">
        <v>0.22470000000000001</v>
      </c>
      <c r="G7" s="86">
        <v>0.1416</v>
      </c>
      <c r="H7" s="38">
        <f t="shared" si="1"/>
        <v>-4.7674999999999995E-2</v>
      </c>
      <c r="I7" s="38">
        <f t="shared" si="2"/>
        <v>9.3925000000000008E-2</v>
      </c>
      <c r="J7" s="38">
        <f t="shared" si="0"/>
        <v>4.6250000000000013E-2</v>
      </c>
      <c r="K7" s="38">
        <f t="shared" si="0"/>
        <v>-1.4249999999999818E-3</v>
      </c>
      <c r="L7" s="38">
        <f t="shared" si="0"/>
        <v>-4.9099999999999977E-2</v>
      </c>
      <c r="M7" s="38">
        <f t="shared" si="0"/>
        <v>-9.6774999999999972E-2</v>
      </c>
      <c r="N7" s="38">
        <f t="shared" si="0"/>
        <v>-0.14444999999999997</v>
      </c>
      <c r="O7" s="38">
        <f t="shared" si="0"/>
        <v>-0.19212499999999996</v>
      </c>
      <c r="Q7" s="38">
        <f t="shared" si="3"/>
        <v>-0.33372499999999994</v>
      </c>
    </row>
    <row r="8" spans="1:17" x14ac:dyDescent="0.2">
      <c r="A8" s="153"/>
      <c r="B8" s="85" t="s">
        <v>158</v>
      </c>
      <c r="C8" s="86">
        <v>0.36919999999999997</v>
      </c>
      <c r="D8" s="86">
        <v>0.37209999999999999</v>
      </c>
      <c r="E8" s="86">
        <v>0.24260000000000001</v>
      </c>
      <c r="F8" s="86">
        <v>0.23899999999999999</v>
      </c>
      <c r="G8" s="86">
        <v>0.16919999999999999</v>
      </c>
      <c r="H8" s="38">
        <f t="shared" si="1"/>
        <v>-4.9999999999999996E-2</v>
      </c>
      <c r="I8" s="38">
        <f t="shared" si="2"/>
        <v>0.1192</v>
      </c>
      <c r="J8" s="38">
        <f t="shared" si="0"/>
        <v>6.9200000000000012E-2</v>
      </c>
      <c r="K8" s="38">
        <f t="shared" si="0"/>
        <v>1.9200000000000016E-2</v>
      </c>
      <c r="L8" s="38">
        <f t="shared" si="0"/>
        <v>-3.079999999999998E-2</v>
      </c>
      <c r="M8" s="38">
        <f t="shared" si="0"/>
        <v>-8.0799999999999983E-2</v>
      </c>
      <c r="N8" s="38">
        <f t="shared" si="0"/>
        <v>-0.13079999999999997</v>
      </c>
      <c r="O8" s="38">
        <f t="shared" si="0"/>
        <v>-0.18079999999999996</v>
      </c>
      <c r="Q8" s="38">
        <f t="shared" si="3"/>
        <v>-0.35</v>
      </c>
    </row>
    <row r="9" spans="1:17" x14ac:dyDescent="0.2">
      <c r="A9" s="154"/>
      <c r="B9" s="85" t="s">
        <v>159</v>
      </c>
      <c r="C9" s="86">
        <v>0.2135</v>
      </c>
      <c r="D9" s="86">
        <v>0.21590000000000001</v>
      </c>
      <c r="E9" s="86">
        <v>0.17879999999999999</v>
      </c>
      <c r="F9" s="86">
        <v>0.1835</v>
      </c>
      <c r="G9" s="86">
        <v>4.6899999999999997E-2</v>
      </c>
      <c r="H9" s="38">
        <f t="shared" si="1"/>
        <v>-4.165E-2</v>
      </c>
      <c r="I9" s="38">
        <f t="shared" si="2"/>
        <v>5.2499999999999977E-3</v>
      </c>
      <c r="J9" s="38">
        <f t="shared" si="0"/>
        <v>-3.6400000000000002E-2</v>
      </c>
      <c r="K9" s="38">
        <f t="shared" si="0"/>
        <v>-7.8050000000000008E-2</v>
      </c>
      <c r="L9" s="38">
        <f t="shared" si="0"/>
        <v>-0.1197</v>
      </c>
      <c r="M9" s="38">
        <f t="shared" si="0"/>
        <v>-0.16134999999999999</v>
      </c>
      <c r="N9" s="38">
        <f t="shared" si="0"/>
        <v>-0.20299999999999999</v>
      </c>
      <c r="O9" s="38">
        <f t="shared" si="0"/>
        <v>-0.24464999999999998</v>
      </c>
      <c r="Q9" s="38">
        <f t="shared" si="3"/>
        <v>-0.29154999999999998</v>
      </c>
    </row>
    <row r="10" spans="1:17" x14ac:dyDescent="0.2">
      <c r="A10" s="152" t="s">
        <v>8</v>
      </c>
      <c r="B10" s="85" t="s">
        <v>157</v>
      </c>
      <c r="C10" s="86">
        <v>9.69E-2</v>
      </c>
      <c r="D10" s="86">
        <v>0.12379999999999999</v>
      </c>
      <c r="E10" s="86">
        <v>0.1532</v>
      </c>
      <c r="F10" s="86">
        <v>0.2167</v>
      </c>
      <c r="G10" s="86">
        <v>0.24160000000000001</v>
      </c>
      <c r="H10" s="38">
        <f t="shared" si="1"/>
        <v>3.6174999999999999E-2</v>
      </c>
      <c r="I10" s="38">
        <f t="shared" si="2"/>
        <v>0.27777499999999999</v>
      </c>
      <c r="J10" s="38">
        <f t="shared" si="0"/>
        <v>0.31395000000000001</v>
      </c>
      <c r="K10" s="38">
        <f t="shared" si="0"/>
        <v>0.35012500000000002</v>
      </c>
      <c r="L10" s="38">
        <f t="shared" si="0"/>
        <v>0.38630000000000003</v>
      </c>
      <c r="M10" s="38">
        <f t="shared" si="0"/>
        <v>0.42247500000000004</v>
      </c>
      <c r="N10" s="38">
        <f t="shared" si="0"/>
        <v>0.45865000000000006</v>
      </c>
      <c r="O10" s="38">
        <f t="shared" si="0"/>
        <v>0.49482500000000007</v>
      </c>
      <c r="Q10" s="38">
        <f t="shared" si="3"/>
        <v>0.25322500000000003</v>
      </c>
    </row>
    <row r="11" spans="1:17" x14ac:dyDescent="0.2">
      <c r="A11" s="153"/>
      <c r="B11" s="85" t="s">
        <v>158</v>
      </c>
      <c r="C11" s="86">
        <v>0.15390000000000001</v>
      </c>
      <c r="D11" s="86">
        <v>0.18479999999999999</v>
      </c>
      <c r="E11" s="86">
        <v>0.221</v>
      </c>
      <c r="F11" s="86">
        <v>0.27139999999999997</v>
      </c>
      <c r="G11" s="86">
        <v>0.2702</v>
      </c>
      <c r="H11" s="38">
        <f t="shared" si="1"/>
        <v>2.9074999999999997E-2</v>
      </c>
      <c r="I11" s="38">
        <f t="shared" si="2"/>
        <v>0.29927500000000001</v>
      </c>
      <c r="J11" s="38">
        <f t="shared" si="0"/>
        <v>0.32835000000000003</v>
      </c>
      <c r="K11" s="38">
        <f t="shared" si="0"/>
        <v>0.35742500000000005</v>
      </c>
      <c r="L11" s="38">
        <f t="shared" si="0"/>
        <v>0.38650000000000007</v>
      </c>
      <c r="M11" s="38">
        <f t="shared" si="0"/>
        <v>0.41557500000000008</v>
      </c>
      <c r="N11" s="38">
        <f t="shared" si="0"/>
        <v>0.4446500000000001</v>
      </c>
      <c r="O11" s="38">
        <f t="shared" si="0"/>
        <v>0.47372500000000012</v>
      </c>
      <c r="Q11" s="38">
        <f t="shared" si="3"/>
        <v>0.20352500000000012</v>
      </c>
    </row>
    <row r="12" spans="1:17" x14ac:dyDescent="0.2">
      <c r="A12" s="154"/>
      <c r="B12" s="85" t="s">
        <v>159</v>
      </c>
      <c r="C12" s="86">
        <v>2.9000000000000001E-2</v>
      </c>
      <c r="D12" s="86">
        <v>4.6300000000000001E-2</v>
      </c>
      <c r="E12" s="86">
        <v>5.8799999999999998E-2</v>
      </c>
      <c r="F12" s="86">
        <v>0.1321</v>
      </c>
      <c r="G12" s="86">
        <v>0.19969999999999999</v>
      </c>
      <c r="H12" s="38">
        <f t="shared" si="1"/>
        <v>4.2674999999999998E-2</v>
      </c>
      <c r="I12" s="38">
        <f t="shared" si="2"/>
        <v>0.24237499999999998</v>
      </c>
      <c r="J12" s="38">
        <f t="shared" si="0"/>
        <v>0.28504999999999997</v>
      </c>
      <c r="K12" s="38">
        <f t="shared" si="0"/>
        <v>0.32772499999999999</v>
      </c>
      <c r="L12" s="38">
        <f t="shared" si="0"/>
        <v>0.37040000000000001</v>
      </c>
      <c r="M12" s="38">
        <f t="shared" si="0"/>
        <v>0.41307500000000003</v>
      </c>
      <c r="N12" s="38">
        <f t="shared" si="0"/>
        <v>0.45575000000000004</v>
      </c>
      <c r="O12" s="38">
        <f t="shared" si="0"/>
        <v>0.49842500000000006</v>
      </c>
      <c r="Q12" s="38">
        <f t="shared" si="3"/>
        <v>0.29872500000000007</v>
      </c>
    </row>
    <row r="13" spans="1:17" x14ac:dyDescent="0.2">
      <c r="A13" s="152" t="s">
        <v>9</v>
      </c>
      <c r="B13" s="85" t="s">
        <v>157</v>
      </c>
      <c r="C13" s="86">
        <v>0.308</v>
      </c>
      <c r="D13" s="86">
        <v>0.31640000000000001</v>
      </c>
      <c r="E13" s="86">
        <v>0.31319999999999998</v>
      </c>
      <c r="F13" s="86">
        <v>0.32229999999999998</v>
      </c>
      <c r="G13" s="86">
        <v>0.33150000000000002</v>
      </c>
      <c r="H13" s="38">
        <f t="shared" si="1"/>
        <v>5.8750000000000052E-3</v>
      </c>
      <c r="I13" s="38">
        <f t="shared" si="2"/>
        <v>0.33737500000000004</v>
      </c>
      <c r="J13" s="38">
        <f t="shared" si="0"/>
        <v>0.34325000000000006</v>
      </c>
      <c r="K13" s="38">
        <f t="shared" si="0"/>
        <v>0.34912500000000007</v>
      </c>
      <c r="L13" s="38">
        <f t="shared" si="0"/>
        <v>0.35500000000000009</v>
      </c>
      <c r="M13" s="38">
        <f t="shared" si="0"/>
        <v>0.36087500000000011</v>
      </c>
      <c r="N13" s="38">
        <f t="shared" si="0"/>
        <v>0.36675000000000013</v>
      </c>
      <c r="O13" s="38">
        <f t="shared" si="0"/>
        <v>0.37262500000000015</v>
      </c>
      <c r="Q13" s="38">
        <f t="shared" si="3"/>
        <v>4.1125000000000134E-2</v>
      </c>
    </row>
    <row r="14" spans="1:17" x14ac:dyDescent="0.2">
      <c r="A14" s="153"/>
      <c r="B14" s="85" t="s">
        <v>158</v>
      </c>
      <c r="C14" s="86">
        <v>0.36209999999999998</v>
      </c>
      <c r="D14" s="86">
        <v>0.36909999999999998</v>
      </c>
      <c r="E14" s="86">
        <v>0.36509999999999998</v>
      </c>
      <c r="F14" s="86">
        <v>0.3715</v>
      </c>
      <c r="G14" s="86">
        <v>0.37730000000000002</v>
      </c>
      <c r="H14" s="38">
        <f t="shared" si="1"/>
        <v>3.8000000000000117E-3</v>
      </c>
      <c r="I14" s="38">
        <f t="shared" si="2"/>
        <v>0.38110000000000005</v>
      </c>
      <c r="J14" s="38">
        <f t="shared" ref="J14:O23" si="4">I14+$H14</f>
        <v>0.38490000000000008</v>
      </c>
      <c r="K14" s="38">
        <f t="shared" si="4"/>
        <v>0.3887000000000001</v>
      </c>
      <c r="L14" s="38">
        <f t="shared" si="4"/>
        <v>0.39250000000000013</v>
      </c>
      <c r="M14" s="38">
        <f t="shared" si="4"/>
        <v>0.39630000000000015</v>
      </c>
      <c r="N14" s="38">
        <f t="shared" si="4"/>
        <v>0.40010000000000018</v>
      </c>
      <c r="O14" s="38">
        <f t="shared" si="4"/>
        <v>0.4039000000000002</v>
      </c>
      <c r="Q14" s="38">
        <f t="shared" si="3"/>
        <v>2.6600000000000179E-2</v>
      </c>
    </row>
    <row r="15" spans="1:17" x14ac:dyDescent="0.2">
      <c r="A15" s="154"/>
      <c r="B15" s="85" t="s">
        <v>159</v>
      </c>
      <c r="C15" s="86">
        <v>0.152</v>
      </c>
      <c r="D15" s="86">
        <v>0.161</v>
      </c>
      <c r="E15" s="86">
        <v>0.16300000000000001</v>
      </c>
      <c r="F15" s="86">
        <v>0.1789</v>
      </c>
      <c r="G15" s="86">
        <v>0.19919999999999999</v>
      </c>
      <c r="H15" s="38">
        <f t="shared" si="1"/>
        <v>1.1799999999999998E-2</v>
      </c>
      <c r="I15" s="38">
        <f t="shared" si="2"/>
        <v>0.21099999999999999</v>
      </c>
      <c r="J15" s="38">
        <f t="shared" si="4"/>
        <v>0.2228</v>
      </c>
      <c r="K15" s="38">
        <f t="shared" si="4"/>
        <v>0.2346</v>
      </c>
      <c r="L15" s="38">
        <f t="shared" si="4"/>
        <v>0.24640000000000001</v>
      </c>
      <c r="M15" s="38">
        <f t="shared" si="4"/>
        <v>0.25819999999999999</v>
      </c>
      <c r="N15" s="38">
        <f t="shared" si="4"/>
        <v>0.26999999999999996</v>
      </c>
      <c r="O15" s="38">
        <f t="shared" si="4"/>
        <v>0.28179999999999994</v>
      </c>
      <c r="Q15" s="87">
        <f t="shared" si="3"/>
        <v>8.2599999999999951E-2</v>
      </c>
    </row>
    <row r="16" spans="1:17" x14ac:dyDescent="0.2">
      <c r="A16" s="152" t="s">
        <v>10</v>
      </c>
      <c r="B16" s="85" t="s">
        <v>157</v>
      </c>
      <c r="C16" s="86">
        <v>0.12189999999999999</v>
      </c>
      <c r="D16" s="86">
        <v>0.121</v>
      </c>
      <c r="E16" s="86">
        <v>0.1118</v>
      </c>
      <c r="F16" s="86">
        <v>0.1176</v>
      </c>
      <c r="G16" s="86">
        <v>6.6600000000000006E-2</v>
      </c>
      <c r="H16" s="38">
        <f t="shared" si="1"/>
        <v>-1.3824999999999997E-2</v>
      </c>
      <c r="I16" s="38">
        <f t="shared" si="2"/>
        <v>5.2775000000000009E-2</v>
      </c>
      <c r="J16" s="38">
        <f t="shared" si="4"/>
        <v>3.8950000000000012E-2</v>
      </c>
      <c r="K16" s="38">
        <f t="shared" si="4"/>
        <v>2.5125000000000015E-2</v>
      </c>
      <c r="L16" s="38">
        <f t="shared" si="4"/>
        <v>1.1300000000000018E-2</v>
      </c>
      <c r="M16" s="38">
        <f t="shared" si="4"/>
        <v>-2.5249999999999787E-3</v>
      </c>
      <c r="N16" s="38">
        <f t="shared" si="4"/>
        <v>-1.6349999999999976E-2</v>
      </c>
      <c r="O16" s="38">
        <f t="shared" si="4"/>
        <v>-3.0174999999999973E-2</v>
      </c>
      <c r="Q16" s="38">
        <f t="shared" si="3"/>
        <v>-9.6774999999999972E-2</v>
      </c>
    </row>
    <row r="17" spans="1:17" x14ac:dyDescent="0.2">
      <c r="A17" s="153"/>
      <c r="B17" s="85" t="s">
        <v>158</v>
      </c>
      <c r="C17" s="86">
        <v>0.1799</v>
      </c>
      <c r="D17" s="86">
        <v>0.18770000000000001</v>
      </c>
      <c r="E17" s="86">
        <v>0.17299999999999999</v>
      </c>
      <c r="F17" s="86">
        <v>0.1784</v>
      </c>
      <c r="G17" s="86">
        <v>0.1086</v>
      </c>
      <c r="H17" s="38">
        <f t="shared" si="1"/>
        <v>-1.7825000000000001E-2</v>
      </c>
      <c r="I17" s="38">
        <f t="shared" si="2"/>
        <v>9.0774999999999995E-2</v>
      </c>
      <c r="J17" s="38">
        <f t="shared" si="4"/>
        <v>7.2949999999999987E-2</v>
      </c>
      <c r="K17" s="38">
        <f t="shared" si="4"/>
        <v>5.5124999999999987E-2</v>
      </c>
      <c r="L17" s="38">
        <f t="shared" si="4"/>
        <v>3.7299999999999986E-2</v>
      </c>
      <c r="M17" s="38">
        <f t="shared" si="4"/>
        <v>1.9474999999999985E-2</v>
      </c>
      <c r="N17" s="38">
        <f t="shared" si="4"/>
        <v>1.6499999999999848E-3</v>
      </c>
      <c r="O17" s="38">
        <f t="shared" si="4"/>
        <v>-1.6175000000000016E-2</v>
      </c>
      <c r="Q17" s="38">
        <f t="shared" si="3"/>
        <v>-0.12477500000000002</v>
      </c>
    </row>
    <row r="18" spans="1:17" x14ac:dyDescent="0.2">
      <c r="A18" s="154"/>
      <c r="B18" s="85" t="s">
        <v>159</v>
      </c>
      <c r="C18" s="86">
        <v>5.1299999999999998E-2</v>
      </c>
      <c r="D18" s="86">
        <v>4.6399999999999997E-2</v>
      </c>
      <c r="E18" s="86">
        <v>4.2599999999999999E-2</v>
      </c>
      <c r="F18" s="86">
        <v>4.5499999999999999E-2</v>
      </c>
      <c r="G18" s="86">
        <v>1.9800000000000002E-2</v>
      </c>
      <c r="H18" s="38">
        <f t="shared" si="1"/>
        <v>-7.8750000000000001E-3</v>
      </c>
      <c r="I18" s="38">
        <f t="shared" si="2"/>
        <v>1.1925000000000002E-2</v>
      </c>
      <c r="J18" s="38">
        <f t="shared" si="4"/>
        <v>4.0500000000000015E-3</v>
      </c>
      <c r="K18" s="38">
        <f t="shared" si="4"/>
        <v>-3.8249999999999985E-3</v>
      </c>
      <c r="L18" s="38">
        <f t="shared" si="4"/>
        <v>-1.1699999999999999E-2</v>
      </c>
      <c r="M18" s="38">
        <f t="shared" si="4"/>
        <v>-1.9574999999999999E-2</v>
      </c>
      <c r="N18" s="38">
        <f t="shared" si="4"/>
        <v>-2.7449999999999999E-2</v>
      </c>
      <c r="O18" s="38">
        <f t="shared" si="4"/>
        <v>-3.5324999999999995E-2</v>
      </c>
      <c r="Q18" s="38">
        <f t="shared" si="3"/>
        <v>-5.5124999999999993E-2</v>
      </c>
    </row>
    <row r="19" spans="1:17" x14ac:dyDescent="0.2">
      <c r="A19" s="152" t="s">
        <v>11</v>
      </c>
      <c r="B19" s="85" t="s">
        <v>157</v>
      </c>
      <c r="C19" s="86">
        <v>8.8499999999999995E-2</v>
      </c>
      <c r="D19" s="86">
        <v>8.8099999999999998E-2</v>
      </c>
      <c r="E19" s="86">
        <v>6.8500000000000005E-2</v>
      </c>
      <c r="F19" s="86">
        <v>9.2200000000000004E-2</v>
      </c>
      <c r="G19" s="86">
        <v>0.1057</v>
      </c>
      <c r="H19" s="38">
        <f t="shared" si="1"/>
        <v>4.3000000000000017E-3</v>
      </c>
      <c r="I19" s="38">
        <f t="shared" si="2"/>
        <v>0.11</v>
      </c>
      <c r="J19" s="38">
        <f t="shared" si="4"/>
        <v>0.1143</v>
      </c>
      <c r="K19" s="38">
        <f t="shared" si="4"/>
        <v>0.1186</v>
      </c>
      <c r="L19" s="38">
        <f t="shared" si="4"/>
        <v>0.1229</v>
      </c>
      <c r="M19" s="38">
        <f t="shared" si="4"/>
        <v>0.12720000000000001</v>
      </c>
      <c r="N19" s="38">
        <f t="shared" si="4"/>
        <v>0.13150000000000001</v>
      </c>
      <c r="O19" s="38">
        <f t="shared" si="4"/>
        <v>0.1358</v>
      </c>
      <c r="Q19" s="38">
        <f t="shared" si="3"/>
        <v>3.0100000000000002E-2</v>
      </c>
    </row>
    <row r="20" spans="1:17" x14ac:dyDescent="0.2">
      <c r="A20" s="153"/>
      <c r="B20" s="85" t="s">
        <v>158</v>
      </c>
      <c r="C20" s="86">
        <v>0.20200000000000001</v>
      </c>
      <c r="D20" s="86">
        <v>0.2006</v>
      </c>
      <c r="E20" s="86">
        <v>0.15540000000000001</v>
      </c>
      <c r="F20" s="86">
        <v>0.1915</v>
      </c>
      <c r="G20" s="86">
        <v>0.18840000000000001</v>
      </c>
      <c r="H20" s="38">
        <f t="shared" si="1"/>
        <v>-3.4000000000000002E-3</v>
      </c>
      <c r="I20" s="38">
        <f t="shared" si="2"/>
        <v>0.185</v>
      </c>
      <c r="J20" s="38">
        <f t="shared" si="4"/>
        <v>0.18159999999999998</v>
      </c>
      <c r="K20" s="38">
        <f t="shared" si="4"/>
        <v>0.17819999999999997</v>
      </c>
      <c r="L20" s="38">
        <f t="shared" si="4"/>
        <v>0.17479999999999996</v>
      </c>
      <c r="M20" s="38">
        <f t="shared" si="4"/>
        <v>0.17139999999999994</v>
      </c>
      <c r="N20" s="38">
        <f t="shared" si="4"/>
        <v>0.16799999999999993</v>
      </c>
      <c r="O20" s="38">
        <f>N20+$H20</f>
        <v>0.16459999999999991</v>
      </c>
      <c r="Q20" s="38">
        <f t="shared" si="3"/>
        <v>-2.3800000000000099E-2</v>
      </c>
    </row>
    <row r="21" spans="1:17" x14ac:dyDescent="0.2">
      <c r="A21" s="154"/>
      <c r="B21" s="85" t="s">
        <v>159</v>
      </c>
      <c r="C21" s="86">
        <v>1.54E-2</v>
      </c>
      <c r="D21" s="86">
        <v>1.52E-2</v>
      </c>
      <c r="E21" s="86">
        <v>1.15E-2</v>
      </c>
      <c r="F21" s="86">
        <v>2.6499999999999999E-2</v>
      </c>
      <c r="G21" s="86">
        <v>5.0700000000000002E-2</v>
      </c>
      <c r="H21" s="38">
        <f t="shared" si="1"/>
        <v>8.8249999999999995E-3</v>
      </c>
      <c r="I21" s="38">
        <f t="shared" si="2"/>
        <v>5.9525000000000002E-2</v>
      </c>
      <c r="J21" s="38">
        <f t="shared" si="4"/>
        <v>6.8349999999999994E-2</v>
      </c>
      <c r="K21" s="38">
        <f t="shared" si="4"/>
        <v>7.7174999999999994E-2</v>
      </c>
      <c r="L21" s="38">
        <f t="shared" si="4"/>
        <v>8.5999999999999993E-2</v>
      </c>
      <c r="M21" s="38">
        <f t="shared" si="4"/>
        <v>9.4824999999999993E-2</v>
      </c>
      <c r="N21" s="38">
        <f t="shared" si="4"/>
        <v>0.10364999999999999</v>
      </c>
      <c r="O21" s="38">
        <f t="shared" si="4"/>
        <v>0.11247499999999999</v>
      </c>
      <c r="Q21" s="38">
        <f t="shared" si="3"/>
        <v>6.177499999999999E-2</v>
      </c>
    </row>
    <row r="22" spans="1:17" x14ac:dyDescent="0.2">
      <c r="A22" s="152" t="s">
        <v>12</v>
      </c>
      <c r="B22" s="85" t="s">
        <v>157</v>
      </c>
      <c r="C22" s="86">
        <v>0.13569999999999999</v>
      </c>
      <c r="D22" s="86">
        <v>0.1401</v>
      </c>
      <c r="E22" s="86">
        <v>0.13869999999999999</v>
      </c>
      <c r="F22" s="86">
        <v>0.1482</v>
      </c>
      <c r="G22" s="86">
        <v>0.1419</v>
      </c>
      <c r="H22" s="38">
        <f t="shared" si="1"/>
        <v>1.5500000000000028E-3</v>
      </c>
      <c r="I22" s="38">
        <f t="shared" si="2"/>
        <v>0.14344999999999999</v>
      </c>
      <c r="J22" s="38">
        <f t="shared" si="4"/>
        <v>0.14499999999999999</v>
      </c>
      <c r="K22" s="38">
        <f t="shared" si="4"/>
        <v>0.14654999999999999</v>
      </c>
      <c r="L22" s="38">
        <f t="shared" si="4"/>
        <v>0.14809999999999998</v>
      </c>
      <c r="M22" s="38">
        <f t="shared" si="4"/>
        <v>0.14964999999999998</v>
      </c>
      <c r="N22" s="38">
        <f t="shared" si="4"/>
        <v>0.15119999999999997</v>
      </c>
      <c r="O22" s="38">
        <f t="shared" si="4"/>
        <v>0.15274999999999997</v>
      </c>
      <c r="Q22" s="38">
        <f t="shared" si="3"/>
        <v>1.0849999999999971E-2</v>
      </c>
    </row>
    <row r="23" spans="1:17" x14ac:dyDescent="0.2">
      <c r="A23" s="153"/>
      <c r="B23" s="85" t="s">
        <v>158</v>
      </c>
      <c r="C23" s="86">
        <v>0.2535</v>
      </c>
      <c r="D23" s="86">
        <v>0.26650000000000001</v>
      </c>
      <c r="E23" s="86">
        <v>0.25359999999999999</v>
      </c>
      <c r="F23" s="86">
        <v>0.26119999999999999</v>
      </c>
      <c r="G23" s="86">
        <v>0.247</v>
      </c>
      <c r="H23" s="38">
        <f t="shared" si="1"/>
        <v>-1.6250000000000014E-3</v>
      </c>
      <c r="I23" s="38">
        <f t="shared" si="2"/>
        <v>0.24537500000000001</v>
      </c>
      <c r="J23" s="38">
        <f t="shared" si="4"/>
        <v>0.24375000000000002</v>
      </c>
      <c r="K23" s="38">
        <f t="shared" si="4"/>
        <v>0.24212500000000003</v>
      </c>
      <c r="L23" s="38">
        <f t="shared" si="4"/>
        <v>0.24050000000000005</v>
      </c>
      <c r="M23" s="38">
        <f t="shared" si="4"/>
        <v>0.23887500000000006</v>
      </c>
      <c r="N23" s="38">
        <f t="shared" si="4"/>
        <v>0.23725000000000007</v>
      </c>
      <c r="O23" s="38">
        <f t="shared" si="4"/>
        <v>0.23562500000000008</v>
      </c>
      <c r="Q23" s="38">
        <f t="shared" si="3"/>
        <v>-1.1374999999999913E-2</v>
      </c>
    </row>
    <row r="24" spans="1:17" x14ac:dyDescent="0.2">
      <c r="A24" s="154"/>
      <c r="B24" s="85" t="s">
        <v>159</v>
      </c>
      <c r="C24" s="86">
        <v>5.16E-2</v>
      </c>
      <c r="D24" s="86">
        <v>4.9599999999999998E-2</v>
      </c>
      <c r="E24" s="86">
        <v>5.0900000000000001E-2</v>
      </c>
      <c r="F24" s="86">
        <v>5.4899999999999997E-2</v>
      </c>
      <c r="G24" s="86">
        <v>5.1299999999999998E-2</v>
      </c>
      <c r="H24" s="38">
        <f>((D24-C24)+(E24-D24)+(F24-E24)+(G24-F24))/($G$3-$C$3)</f>
        <v>-7.5000000000000414E-5</v>
      </c>
      <c r="I24" s="38">
        <f t="shared" si="2"/>
        <v>5.1225E-2</v>
      </c>
      <c r="J24" s="38">
        <f t="shared" ref="J24:O33" si="5">I24+$H24</f>
        <v>5.1150000000000001E-2</v>
      </c>
      <c r="K24" s="38">
        <f t="shared" si="5"/>
        <v>5.1075000000000002E-2</v>
      </c>
      <c r="L24" s="38">
        <f t="shared" si="5"/>
        <v>5.1000000000000004E-2</v>
      </c>
      <c r="M24" s="38">
        <f t="shared" si="5"/>
        <v>5.0925000000000005E-2</v>
      </c>
      <c r="N24" s="38">
        <f t="shared" si="5"/>
        <v>5.0850000000000006E-2</v>
      </c>
      <c r="O24" s="38">
        <f t="shared" si="5"/>
        <v>5.0775000000000008E-2</v>
      </c>
      <c r="Q24" s="38">
        <f t="shared" si="3"/>
        <v>-5.2499999999999075E-4</v>
      </c>
    </row>
    <row r="25" spans="1:17" x14ac:dyDescent="0.2">
      <c r="A25" s="152" t="s">
        <v>13</v>
      </c>
      <c r="B25" s="85" t="s">
        <v>157</v>
      </c>
      <c r="C25" s="86">
        <v>0.1386</v>
      </c>
      <c r="D25" s="86">
        <v>0.14249999999999999</v>
      </c>
      <c r="E25" s="86">
        <v>0.14940000000000001</v>
      </c>
      <c r="F25" s="86">
        <v>0.13789999999999999</v>
      </c>
      <c r="G25" s="86">
        <v>0.12920000000000001</v>
      </c>
      <c r="H25" s="38">
        <f t="shared" si="1"/>
        <v>-2.3499999999999979E-3</v>
      </c>
      <c r="I25" s="38">
        <f t="shared" si="2"/>
        <v>0.12685000000000002</v>
      </c>
      <c r="J25" s="38">
        <f t="shared" si="5"/>
        <v>0.12450000000000003</v>
      </c>
      <c r="K25" s="38">
        <f t="shared" si="5"/>
        <v>0.12215000000000004</v>
      </c>
      <c r="L25" s="38">
        <f t="shared" si="5"/>
        <v>0.11980000000000005</v>
      </c>
      <c r="M25" s="38">
        <f t="shared" si="5"/>
        <v>0.11745000000000005</v>
      </c>
      <c r="N25" s="38">
        <f t="shared" si="5"/>
        <v>0.11510000000000006</v>
      </c>
      <c r="O25" s="38">
        <f t="shared" si="5"/>
        <v>0.11275000000000007</v>
      </c>
      <c r="Q25" s="38">
        <f t="shared" si="3"/>
        <v>-1.6449999999999937E-2</v>
      </c>
    </row>
    <row r="26" spans="1:17" x14ac:dyDescent="0.2">
      <c r="A26" s="153"/>
      <c r="B26" s="85" t="s">
        <v>158</v>
      </c>
      <c r="C26" s="86">
        <v>0.18329999999999999</v>
      </c>
      <c r="D26" s="86">
        <v>0.19070000000000001</v>
      </c>
      <c r="E26" s="86">
        <v>0.19489999999999999</v>
      </c>
      <c r="F26" s="86">
        <v>0.19089999999999999</v>
      </c>
      <c r="G26" s="86">
        <v>0.17399999999999999</v>
      </c>
      <c r="H26" s="38">
        <f t="shared" si="1"/>
        <v>-2.3250000000000007E-3</v>
      </c>
      <c r="I26" s="38">
        <f t="shared" si="2"/>
        <v>0.17167499999999999</v>
      </c>
      <c r="J26" s="38">
        <f t="shared" si="5"/>
        <v>0.16935</v>
      </c>
      <c r="K26" s="38">
        <f t="shared" si="5"/>
        <v>0.16702500000000001</v>
      </c>
      <c r="L26" s="38">
        <f t="shared" si="5"/>
        <v>0.16470000000000001</v>
      </c>
      <c r="M26" s="38">
        <f t="shared" si="5"/>
        <v>0.16237500000000002</v>
      </c>
      <c r="N26" s="38">
        <f t="shared" si="5"/>
        <v>0.16005000000000003</v>
      </c>
      <c r="O26" s="38">
        <f t="shared" si="5"/>
        <v>0.15772500000000003</v>
      </c>
      <c r="Q26" s="38">
        <f t="shared" si="3"/>
        <v>-1.6274999999999956E-2</v>
      </c>
    </row>
    <row r="27" spans="1:17" x14ac:dyDescent="0.2">
      <c r="A27" s="154"/>
      <c r="B27" s="85" t="s">
        <v>159</v>
      </c>
      <c r="C27" s="86">
        <v>7.7200000000000005E-2</v>
      </c>
      <c r="D27" s="86">
        <v>7.6300000000000007E-2</v>
      </c>
      <c r="E27" s="86">
        <v>8.2199999999999995E-2</v>
      </c>
      <c r="F27" s="86">
        <v>6.3899999999999998E-2</v>
      </c>
      <c r="G27" s="86">
        <v>6.2700000000000006E-2</v>
      </c>
      <c r="H27" s="38">
        <f t="shared" si="1"/>
        <v>-3.6249999999999998E-3</v>
      </c>
      <c r="I27" s="38">
        <f t="shared" si="2"/>
        <v>5.9075000000000003E-2</v>
      </c>
      <c r="J27" s="38">
        <f t="shared" si="5"/>
        <v>5.5449999999999999E-2</v>
      </c>
      <c r="K27" s="38">
        <f t="shared" si="5"/>
        <v>5.1824999999999996E-2</v>
      </c>
      <c r="L27" s="38">
        <f t="shared" si="5"/>
        <v>4.8199999999999993E-2</v>
      </c>
      <c r="M27" s="38">
        <f t="shared" si="5"/>
        <v>4.457499999999999E-2</v>
      </c>
      <c r="N27" s="38">
        <f t="shared" si="5"/>
        <v>4.0949999999999986E-2</v>
      </c>
      <c r="O27" s="38">
        <f t="shared" si="5"/>
        <v>3.7324999999999983E-2</v>
      </c>
      <c r="Q27" s="38">
        <f>O27-G27</f>
        <v>-2.5375000000000023E-2</v>
      </c>
    </row>
    <row r="28" spans="1:17" x14ac:dyDescent="0.2">
      <c r="A28" s="152" t="s">
        <v>14</v>
      </c>
      <c r="B28" s="85" t="s">
        <v>157</v>
      </c>
      <c r="C28" s="86">
        <v>9.9199999999999997E-2</v>
      </c>
      <c r="D28" s="86">
        <v>8.9499999999999996E-2</v>
      </c>
      <c r="E28" s="86">
        <v>9.1700000000000004E-2</v>
      </c>
      <c r="F28" s="86">
        <v>0.1181</v>
      </c>
      <c r="G28" s="86">
        <v>0.14230000000000001</v>
      </c>
      <c r="H28" s="38">
        <f t="shared" si="1"/>
        <v>1.0775000000000003E-2</v>
      </c>
      <c r="I28" s="38">
        <f t="shared" si="2"/>
        <v>0.15307500000000002</v>
      </c>
      <c r="J28" s="38">
        <f t="shared" si="5"/>
        <v>0.16385000000000002</v>
      </c>
      <c r="K28" s="38">
        <f>J28+$H28</f>
        <v>0.17462500000000003</v>
      </c>
      <c r="L28" s="38">
        <f t="shared" si="5"/>
        <v>0.18540000000000004</v>
      </c>
      <c r="M28" s="38">
        <f t="shared" si="5"/>
        <v>0.19617500000000004</v>
      </c>
      <c r="N28" s="38">
        <f t="shared" si="5"/>
        <v>0.20695000000000005</v>
      </c>
      <c r="O28" s="38">
        <f t="shared" si="5"/>
        <v>0.21772500000000006</v>
      </c>
      <c r="Q28" s="38">
        <f t="shared" si="3"/>
        <v>7.5425000000000048E-2</v>
      </c>
    </row>
    <row r="29" spans="1:17" x14ac:dyDescent="0.2">
      <c r="A29" s="153"/>
      <c r="B29" s="85" t="s">
        <v>158</v>
      </c>
      <c r="C29" s="86">
        <v>0.253</v>
      </c>
      <c r="D29" s="86">
        <v>0.21759999999999999</v>
      </c>
      <c r="E29" s="86">
        <v>0.2109</v>
      </c>
      <c r="F29" s="86">
        <v>0.20039999999999999</v>
      </c>
      <c r="G29" s="86">
        <v>0.1822</v>
      </c>
      <c r="H29" s="38">
        <f t="shared" si="1"/>
        <v>-1.77E-2</v>
      </c>
      <c r="I29" s="38">
        <f t="shared" si="2"/>
        <v>0.16450000000000001</v>
      </c>
      <c r="J29" s="38">
        <f t="shared" si="5"/>
        <v>0.14680000000000001</v>
      </c>
      <c r="K29" s="38">
        <f t="shared" si="5"/>
        <v>0.12910000000000002</v>
      </c>
      <c r="L29" s="38">
        <f t="shared" si="5"/>
        <v>0.11140000000000003</v>
      </c>
      <c r="M29" s="38">
        <f t="shared" si="5"/>
        <v>9.3700000000000033E-2</v>
      </c>
      <c r="N29" s="38">
        <f t="shared" si="5"/>
        <v>7.600000000000004E-2</v>
      </c>
      <c r="O29" s="38">
        <f t="shared" si="5"/>
        <v>5.8300000000000039E-2</v>
      </c>
      <c r="Q29" s="38">
        <f t="shared" si="3"/>
        <v>-0.12389999999999995</v>
      </c>
    </row>
    <row r="30" spans="1:17" x14ac:dyDescent="0.2">
      <c r="A30" s="154"/>
      <c r="B30" s="85" t="s">
        <v>159</v>
      </c>
      <c r="C30" s="86">
        <v>5.2499999999999998E-2</v>
      </c>
      <c r="D30" s="86">
        <v>4.9799999999999997E-2</v>
      </c>
      <c r="E30" s="86">
        <v>5.6099999999999997E-2</v>
      </c>
      <c r="F30" s="86">
        <v>9.2600000000000002E-2</v>
      </c>
      <c r="G30" s="86">
        <v>0.1295</v>
      </c>
      <c r="H30" s="38">
        <f>((D30-C30)+(E30-D30)+(F30-E30)+(G30-F30))/($G$3-$C$3)</f>
        <v>1.9250000000000003E-2</v>
      </c>
      <c r="I30" s="38">
        <f t="shared" si="2"/>
        <v>0.14874999999999999</v>
      </c>
      <c r="J30" s="38">
        <f t="shared" si="5"/>
        <v>0.16799999999999998</v>
      </c>
      <c r="K30" s="38">
        <f t="shared" si="5"/>
        <v>0.18724999999999997</v>
      </c>
      <c r="L30" s="38">
        <f t="shared" si="5"/>
        <v>0.20649999999999996</v>
      </c>
      <c r="M30" s="38">
        <f>L30+$H30</f>
        <v>0.22574999999999995</v>
      </c>
      <c r="N30" s="38">
        <f t="shared" si="5"/>
        <v>0.24499999999999994</v>
      </c>
      <c r="O30" s="38">
        <f t="shared" si="5"/>
        <v>0.26424999999999993</v>
      </c>
      <c r="Q30" s="38">
        <f t="shared" si="3"/>
        <v>0.13474999999999993</v>
      </c>
    </row>
    <row r="31" spans="1:17" x14ac:dyDescent="0.2">
      <c r="A31" s="152" t="s">
        <v>15</v>
      </c>
      <c r="B31" s="85" t="s">
        <v>157</v>
      </c>
      <c r="C31" s="86">
        <v>5.7299999999999997E-2</v>
      </c>
      <c r="D31" s="86">
        <v>0.14860000000000001</v>
      </c>
      <c r="E31" s="86">
        <v>0.14760000000000001</v>
      </c>
      <c r="F31" s="86">
        <v>9.7199999999999995E-2</v>
      </c>
      <c r="G31" s="86">
        <v>9.74E-2</v>
      </c>
      <c r="H31" s="38">
        <f>((D31-C31)+(E31-D31)+(F31-E31)+(G31-F31))/($G$3-$C$3)</f>
        <v>1.0025000000000003E-2</v>
      </c>
      <c r="I31" s="38">
        <f t="shared" si="2"/>
        <v>0.10742500000000001</v>
      </c>
      <c r="J31" s="38">
        <f t="shared" si="5"/>
        <v>0.11745000000000001</v>
      </c>
      <c r="K31" s="38">
        <f t="shared" si="5"/>
        <v>0.127475</v>
      </c>
      <c r="L31" s="38">
        <f t="shared" si="5"/>
        <v>0.13750000000000001</v>
      </c>
      <c r="M31" s="38">
        <f t="shared" si="5"/>
        <v>0.14752500000000002</v>
      </c>
      <c r="N31" s="38">
        <f t="shared" si="5"/>
        <v>0.15755000000000002</v>
      </c>
      <c r="O31" s="38">
        <f t="shared" si="5"/>
        <v>0.16757500000000003</v>
      </c>
      <c r="Q31" s="38">
        <f t="shared" si="3"/>
        <v>7.0175000000000029E-2</v>
      </c>
    </row>
    <row r="32" spans="1:17" x14ac:dyDescent="0.2">
      <c r="A32" s="153"/>
      <c r="B32" s="85" t="s">
        <v>158</v>
      </c>
      <c r="C32" s="86">
        <v>7.6499999999999999E-2</v>
      </c>
      <c r="D32" s="86">
        <v>0.2157</v>
      </c>
      <c r="E32" s="86">
        <v>0.21729999999999999</v>
      </c>
      <c r="F32" s="86">
        <v>0.14130000000000001</v>
      </c>
      <c r="G32" s="86">
        <v>0.14180000000000001</v>
      </c>
      <c r="H32" s="38">
        <f t="shared" si="1"/>
        <v>1.6324999999999999E-2</v>
      </c>
      <c r="I32" s="38">
        <f t="shared" si="2"/>
        <v>0.15812500000000002</v>
      </c>
      <c r="J32" s="38">
        <f t="shared" si="5"/>
        <v>0.17445000000000002</v>
      </c>
      <c r="K32" s="38">
        <f t="shared" si="5"/>
        <v>0.19077500000000003</v>
      </c>
      <c r="L32" s="38">
        <f t="shared" si="5"/>
        <v>0.20710000000000003</v>
      </c>
      <c r="M32" s="38">
        <f t="shared" si="5"/>
        <v>0.22342500000000004</v>
      </c>
      <c r="N32" s="38">
        <f t="shared" si="5"/>
        <v>0.23975000000000005</v>
      </c>
      <c r="O32" s="38">
        <f t="shared" si="5"/>
        <v>0.25607500000000005</v>
      </c>
      <c r="Q32" s="38">
        <f t="shared" si="3"/>
        <v>0.11427500000000004</v>
      </c>
    </row>
    <row r="33" spans="1:17" x14ac:dyDescent="0.2">
      <c r="A33" s="154"/>
      <c r="B33" s="85" t="s">
        <v>159</v>
      </c>
      <c r="C33" s="86">
        <v>2.3800000000000002E-2</v>
      </c>
      <c r="D33" s="86">
        <v>3.4599999999999999E-2</v>
      </c>
      <c r="E33" s="86">
        <v>3.0700000000000002E-2</v>
      </c>
      <c r="F33" s="86">
        <v>3.09E-2</v>
      </c>
      <c r="G33" s="86">
        <v>2.9899999999999999E-2</v>
      </c>
      <c r="H33" s="38">
        <f t="shared" si="1"/>
        <v>1.5249999999999994E-3</v>
      </c>
      <c r="I33" s="38">
        <f t="shared" si="2"/>
        <v>3.1425000000000002E-2</v>
      </c>
      <c r="J33" s="38">
        <f t="shared" si="5"/>
        <v>3.295E-2</v>
      </c>
      <c r="K33" s="38">
        <f t="shared" si="5"/>
        <v>3.4474999999999999E-2</v>
      </c>
      <c r="L33" s="38">
        <f t="shared" si="5"/>
        <v>3.5999999999999997E-2</v>
      </c>
      <c r="M33" s="38">
        <f t="shared" si="5"/>
        <v>3.7524999999999996E-2</v>
      </c>
      <c r="N33" s="38">
        <f t="shared" si="5"/>
        <v>3.9049999999999994E-2</v>
      </c>
      <c r="O33" s="38">
        <f t="shared" si="5"/>
        <v>4.0574999999999993E-2</v>
      </c>
      <c r="Q33" s="38">
        <f>O33-G33</f>
        <v>1.0674999999999994E-2</v>
      </c>
    </row>
  </sheetData>
  <mergeCells count="11">
    <mergeCell ref="A22:A24"/>
    <mergeCell ref="A25:A27"/>
    <mergeCell ref="A28:A30"/>
    <mergeCell ref="A31:A33"/>
    <mergeCell ref="I2:O2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A8F43476EB784464BFCC994945052FE7" version="1.0.0">
  <systemFields>
    <field name="Objective-Id">
      <value order="0">A4375935</value>
    </field>
    <field name="Objective-Title">
      <value order="0">InsideSherpa Case Study Data Analysis - Data Sheets</value>
    </field>
    <field name="Objective-Description">
      <value order="0"/>
    </field>
    <field name="Objective-CreationStamp">
      <value order="0">2019-07-26T00:07:10Z</value>
    </field>
    <field name="Objective-IsApproved">
      <value order="0">false</value>
    </field>
    <field name="Objective-IsPublished">
      <value order="0">true</value>
    </field>
    <field name="Objective-DatePublished">
      <value order="0">2019-07-26T04:15:54Z</value>
    </field>
    <field name="Objective-ModificationStamp">
      <value order="0">2019-07-26T04:15:54Z</value>
    </field>
    <field name="Objective-Owner">
      <value order="0">Alison Golding</value>
    </field>
    <field name="Objective-Path">
      <value order="0">Objective Global Folder:1. Public Service Commission (PSC):1. Public Service Commission File Plan (PSC):WORKFORCE ACQUISITION:EMPLOYMENT STRATEGIES:Recruitment Reform - Implementation:Virtual Internship Program:Data Analyst Module 2019</value>
    </field>
    <field name="Objective-Parent">
      <value order="0">Data Analyst Module 2019</value>
    </field>
    <field name="Objective-State">
      <value order="0">Published</value>
    </field>
    <field name="Objective-VersionId">
      <value order="0">vA7713431</value>
    </field>
    <field name="Objective-Version">
      <value order="0">2.0</value>
    </field>
    <field name="Objective-VersionNumber">
      <value order="0">2</value>
    </field>
    <field name="Objective-VersionComment">
      <value order="0"/>
    </field>
    <field name="Objective-FileNumber">
      <value order="0">qA442016</value>
    </field>
    <field name="Objective-Classification">
      <value order="0"/>
    </field>
    <field name="Objective-Caveats">
      <value order="0"/>
    </field>
  </systemFields>
  <catalogues>
    <catalogue name="Document Type Catalogue" type="type" ori="id:cA63">
      <field name="Objective-Vital Record">
        <value order="0">No</value>
      </field>
      <field name="Objective-DLM">
        <value order="0">No Impact</value>
      </field>
      <field name="Objective-Security Classification">
        <value order="0">UNCLASSIFIED</value>
      </field>
      <field name="Objective-Approval History">
        <value order="0"/>
      </field>
      <field name="Objective-Approval Status">
        <value order="0"/>
      </field>
      <field name="Objective-Connect Creator">
        <value order="0"/>
      </field>
      <field name="Objective-Document Tag(s)">
        <value order="0"/>
      </field>
      <field name="Objective-Shared By">
        <value order="0"/>
      </field>
      <field name="Objective-Current Approve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A8F43476EB784464BFCC994945052F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PT &amp; FT Data Table</vt:lpstr>
      <vt:lpstr>PT &amp; FT Data PivotTable format</vt:lpstr>
      <vt:lpstr>1</vt:lpstr>
      <vt:lpstr>2</vt:lpstr>
      <vt:lpstr>3</vt:lpstr>
      <vt:lpstr>4</vt:lpstr>
      <vt:lpstr>5</vt:lpstr>
      <vt:lpstr>6</vt:lpstr>
      <vt:lpstr>6 (continued)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2026-08-26T11:04:56Z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A4375935</vt:lpwstr>
  </property>
  <property fmtid="{D5CDD505-2E9C-101B-9397-08002B2CF9AE}" pid="4" name="Objective-Title">
    <vt:lpwstr>InsideSherpa Case Study Data Analysis - Data Sheets</vt:lpwstr>
  </property>
  <property fmtid="{D5CDD505-2E9C-101B-9397-08002B2CF9AE}" pid="5" name="Objective-Description">
    <vt:lpwstr/>
  </property>
  <property fmtid="{D5CDD505-2E9C-101B-9397-08002B2CF9AE}" pid="6" name="Objective-CreationStamp">
    <vt:filetime>2019-07-26T00:07:14Z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2019-07-26T04:15:54Z</vt:filetime>
  </property>
  <property fmtid="{D5CDD505-2E9C-101B-9397-08002B2CF9AE}" pid="10" name="Objective-ModificationStamp">
    <vt:filetime>2019-07-26T04:36:11Z</vt:filetime>
  </property>
  <property fmtid="{D5CDD505-2E9C-101B-9397-08002B2CF9AE}" pid="11" name="Objective-Owner">
    <vt:lpwstr>Alison Golding</vt:lpwstr>
  </property>
  <property fmtid="{D5CDD505-2E9C-101B-9397-08002B2CF9AE}" pid="12" name="Objective-Path">
    <vt:lpwstr>Objective Global Folder:1. Public Service Commission (PSC):1. Public Service Commission File Plan (PSC):WORKFORCE ACQUISITION:EMPLOYMENT STRATEGIES:Recruitment Reform - Implementation:Virtual Internship Program:Data Analyst Module 2019:</vt:lpwstr>
  </property>
  <property fmtid="{D5CDD505-2E9C-101B-9397-08002B2CF9AE}" pid="13" name="Objective-Parent">
    <vt:lpwstr>Data Analyst Module 2019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vA7713431</vt:lpwstr>
  </property>
  <property fmtid="{D5CDD505-2E9C-101B-9397-08002B2CF9AE}" pid="16" name="Objective-Version">
    <vt:lpwstr>2.0</vt:lpwstr>
  </property>
  <property fmtid="{D5CDD505-2E9C-101B-9397-08002B2CF9AE}" pid="17" name="Objective-VersionNumber">
    <vt:r8>2</vt:r8>
  </property>
  <property fmtid="{D5CDD505-2E9C-101B-9397-08002B2CF9AE}" pid="18" name="Objective-VersionComment">
    <vt:lpwstr/>
  </property>
  <property fmtid="{D5CDD505-2E9C-101B-9397-08002B2CF9AE}" pid="19" name="Objective-FileNumber">
    <vt:lpwstr>PSC10002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Vital Record">
    <vt:lpwstr>No</vt:lpwstr>
  </property>
  <property fmtid="{D5CDD505-2E9C-101B-9397-08002B2CF9AE}" pid="23" name="Objective-DLM">
    <vt:lpwstr>No Impact</vt:lpwstr>
  </property>
  <property fmtid="{D5CDD505-2E9C-101B-9397-08002B2CF9AE}" pid="24" name="Objective-Security Classification">
    <vt:lpwstr>UNCLASSIFIED</vt:lpwstr>
  </property>
  <property fmtid="{D5CDD505-2E9C-101B-9397-08002B2CF9AE}" pid="25" name="Objective-Approval History">
    <vt:lpwstr/>
  </property>
  <property fmtid="{D5CDD505-2E9C-101B-9397-08002B2CF9AE}" pid="26" name="Objective-Approval Status">
    <vt:lpwstr/>
  </property>
  <property fmtid="{D5CDD505-2E9C-101B-9397-08002B2CF9AE}" pid="27" name="Objective-Connect Creator">
    <vt:lpwstr/>
  </property>
  <property fmtid="{D5CDD505-2E9C-101B-9397-08002B2CF9AE}" pid="28" name="Objective-Document Tag(s)">
    <vt:lpwstr/>
  </property>
  <property fmtid="{D5CDD505-2E9C-101B-9397-08002B2CF9AE}" pid="29" name="Objective-Shared By">
    <vt:lpwstr/>
  </property>
  <property fmtid="{D5CDD505-2E9C-101B-9397-08002B2CF9AE}" pid="30" name="Objective-Current Approver">
    <vt:lpwstr/>
  </property>
  <property fmtid="{D5CDD505-2E9C-101B-9397-08002B2CF9AE}" pid="31" name="Objective-Comment">
    <vt:lpwstr/>
  </property>
  <property fmtid="{D5CDD505-2E9C-101B-9397-08002B2CF9AE}" pid="32" name="Objective-Security Classification [system]">
    <vt:lpwstr>UNCLASSIFIED</vt:lpwstr>
  </property>
  <property fmtid="{D5CDD505-2E9C-101B-9397-08002B2CF9AE}" pid="33" name="Objective-DLM [system]">
    <vt:lpwstr>No Impact</vt:lpwstr>
  </property>
  <property fmtid="{D5CDD505-2E9C-101B-9397-08002B2CF9AE}" pid="34" name="Objective-Vital Record [system]">
    <vt:lpwstr>No</vt:lpwstr>
  </property>
  <property fmtid="{D5CDD505-2E9C-101B-9397-08002B2CF9AE}" pid="35" name="Objective-Current Approver [system]">
    <vt:lpwstr/>
  </property>
  <property fmtid="{D5CDD505-2E9C-101B-9397-08002B2CF9AE}" pid="36" name="Objective-Approval Status [system]">
    <vt:lpwstr/>
  </property>
  <property fmtid="{D5CDD505-2E9C-101B-9397-08002B2CF9AE}" pid="37" name="Objective-Approval History [system]">
    <vt:lpwstr/>
  </property>
  <property fmtid="{D5CDD505-2E9C-101B-9397-08002B2CF9AE}" pid="38" name="Objective-Document Tag(s) [system]">
    <vt:lpwstr/>
  </property>
  <property fmtid="{D5CDD505-2E9C-101B-9397-08002B2CF9AE}" pid="39" name="Objective-Connect Creator [system]">
    <vt:lpwstr/>
  </property>
  <property fmtid="{D5CDD505-2E9C-101B-9397-08002B2CF9AE}" pid="40" name="Objective-Shared By [system]">
    <vt:lpwstr/>
  </property>
</Properties>
</file>